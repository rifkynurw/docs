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910053b2fbc5f88/Documents/JAGOAN CRISPY/LAPORAN PENJUALAN/"/>
    </mc:Choice>
  </mc:AlternateContent>
  <xr:revisionPtr revIDLastSave="241" documentId="8_{91329B8E-43FE-4CC0-9D80-E7F31BDA8487}" xr6:coauthVersionLast="47" xr6:coauthVersionMax="47" xr10:uidLastSave="{67B47466-C4BD-4C32-A072-E64C92FE137B}"/>
  <bookViews>
    <workbookView xWindow="-110" yWindow="-110" windowWidth="19420" windowHeight="11020" firstSheet="4" activeTab="6" xr2:uid="{94D5B8DC-3FAC-4E06-B897-5FB192C5377F}"/>
  </bookViews>
  <sheets>
    <sheet name="FORM HPP" sheetId="12" r:id="rId1"/>
    <sheet name="DETAIL HPP" sheetId="10" r:id="rId2"/>
    <sheet name="MASTER BAHAN BAKU" sheetId="1" r:id="rId3"/>
    <sheet name="MASTER PRODUK" sheetId="4" r:id="rId4"/>
    <sheet name="PENJUALAN (QTY)" sheetId="5" r:id="rId5"/>
    <sheet name="PENJUALAN (RP)" sheetId="6" r:id="rId6"/>
    <sheet name="REKAP PENJUALAN" sheetId="7" r:id="rId7"/>
    <sheet name="STOK &amp; BELANJA BAHAN" sheetId="9" r:id="rId8"/>
    <sheet name="_LIST_HPP" sheetId="11" state="veryHidden" r:id="rId9"/>
  </sheets>
  <definedNames>
    <definedName name="DaftarNamaBahanBelanja">tbl_BahanBaku[NAMA KOMPONEN]</definedName>
    <definedName name="HPPDaftarBahan">_LIST_HPP!$B$2:$B$72</definedName>
    <definedName name="HPPDaftarProduk">_LIST_HPP!$C$2:$C$32</definedName>
    <definedName name="HPPJenisKomponen">_LIST_HPP!$D$2:$D$3</definedName>
    <definedName name="HPPProdukBaru">_LIST_HPP!$A$2:$A$2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9" l="1"/>
  <c r="E16" i="9" s="1"/>
  <c r="F16" i="9" s="1"/>
  <c r="B4" i="9"/>
  <c r="C15" i="9"/>
  <c r="E15" i="9" s="1"/>
  <c r="F15" i="9" s="1"/>
  <c r="C14" i="9"/>
  <c r="E14" i="9" s="1"/>
  <c r="F14" i="9" s="1"/>
  <c r="C13" i="9"/>
  <c r="E13" i="9" s="1"/>
  <c r="F13" i="9" s="1"/>
  <c r="C12" i="9"/>
  <c r="D12" i="9"/>
  <c r="D13" i="9"/>
  <c r="D14" i="9"/>
  <c r="D15" i="9"/>
  <c r="D16" i="9"/>
  <c r="B17" i="9"/>
  <c r="B3" i="9" s="1"/>
  <c r="L4" i="10"/>
  <c r="L5" i="10"/>
  <c r="L8" i="10"/>
  <c r="L11" i="10"/>
  <c r="L12" i="10"/>
  <c r="L13" i="10"/>
  <c r="L9" i="10"/>
  <c r="L10" i="10"/>
  <c r="L6" i="10"/>
  <c r="L7" i="10"/>
  <c r="L2" i="10"/>
  <c r="L3" i="10"/>
  <c r="L209" i="10"/>
  <c r="L210" i="10"/>
  <c r="L221" i="10"/>
  <c r="L217" i="10"/>
  <c r="L216" i="10"/>
  <c r="L218" i="10"/>
  <c r="L211" i="10"/>
  <c r="L213" i="10"/>
  <c r="L220" i="10"/>
  <c r="L212" i="10"/>
  <c r="L222" i="10"/>
  <c r="L214" i="10"/>
  <c r="L215" i="10"/>
  <c r="L219" i="10"/>
  <c r="L223" i="10"/>
  <c r="L225" i="10"/>
  <c r="L237" i="10"/>
  <c r="L232" i="10"/>
  <c r="L231" i="10"/>
  <c r="L234" i="10"/>
  <c r="L226" i="10"/>
  <c r="L228" i="10"/>
  <c r="L236" i="10"/>
  <c r="L227" i="10"/>
  <c r="L238" i="10"/>
  <c r="L229" i="10"/>
  <c r="L230" i="10"/>
  <c r="L235" i="10"/>
  <c r="L224" i="10"/>
  <c r="L233" i="10"/>
  <c r="L239" i="10"/>
  <c r="L240" i="10"/>
  <c r="L242" i="10"/>
  <c r="L243" i="10"/>
  <c r="L244" i="10"/>
  <c r="L245" i="10"/>
  <c r="L241" i="10"/>
  <c r="L246" i="10"/>
  <c r="L247" i="10"/>
  <c r="L248" i="10"/>
  <c r="L249" i="10"/>
  <c r="L251" i="10"/>
  <c r="L252" i="10"/>
  <c r="L253" i="10"/>
  <c r="L254" i="10"/>
  <c r="L250" i="10"/>
  <c r="L255" i="10"/>
  <c r="L256" i="10"/>
  <c r="L257" i="10"/>
  <c r="L258" i="10"/>
  <c r="L260" i="10"/>
  <c r="L261" i="10"/>
  <c r="L262" i="10"/>
  <c r="L264" i="10"/>
  <c r="L259" i="10"/>
  <c r="L263" i="10"/>
  <c r="L265" i="10"/>
  <c r="L268" i="10"/>
  <c r="L269" i="10"/>
  <c r="L270" i="10"/>
  <c r="L271" i="10"/>
  <c r="L272" i="10"/>
  <c r="L267" i="10"/>
  <c r="L266" i="10"/>
  <c r="L273" i="10"/>
  <c r="L274" i="10"/>
  <c r="L277" i="10"/>
  <c r="L278" i="10"/>
  <c r="L279" i="10"/>
  <c r="L280" i="10"/>
  <c r="L281" i="10"/>
  <c r="L283" i="10"/>
  <c r="L276" i="10"/>
  <c r="L275" i="10"/>
  <c r="L282" i="10"/>
  <c r="L284" i="10"/>
  <c r="L285" i="10"/>
  <c r="L287" i="10"/>
  <c r="L288" i="10"/>
  <c r="L289" i="10"/>
  <c r="L290" i="10"/>
  <c r="L292" i="10"/>
  <c r="L286" i="10"/>
  <c r="L291" i="10"/>
  <c r="L293" i="10"/>
  <c r="L296" i="10"/>
  <c r="L297" i="10"/>
  <c r="L295" i="10"/>
  <c r="L294" i="10"/>
  <c r="L298" i="10"/>
  <c r="L301" i="10"/>
  <c r="L302" i="10"/>
  <c r="L303" i="10"/>
  <c r="L304" i="10"/>
  <c r="L305" i="10"/>
  <c r="L307" i="10"/>
  <c r="L300" i="10"/>
  <c r="L299" i="10"/>
  <c r="L306" i="10"/>
  <c r="L308" i="10"/>
  <c r="L309" i="10"/>
  <c r="L310" i="10"/>
  <c r="L311" i="10"/>
  <c r="L312" i="10"/>
  <c r="L314" i="10"/>
  <c r="L313" i="10"/>
  <c r="L315" i="10"/>
  <c r="L316" i="10"/>
  <c r="L317" i="10"/>
  <c r="L318" i="10"/>
  <c r="L319" i="10"/>
  <c r="L321" i="10"/>
  <c r="L320" i="10"/>
  <c r="L322" i="10"/>
  <c r="L323" i="10"/>
  <c r="L324" i="10"/>
  <c r="L325" i="10"/>
  <c r="L328" i="10"/>
  <c r="L327" i="10"/>
  <c r="L326" i="10"/>
  <c r="L329" i="10"/>
  <c r="L330" i="10"/>
  <c r="L331" i="10"/>
  <c r="L332" i="10"/>
  <c r="L334" i="10"/>
  <c r="L335" i="10"/>
  <c r="L336" i="10"/>
  <c r="L337" i="10"/>
  <c r="L338" i="10"/>
  <c r="L333" i="10"/>
  <c r="L340" i="10"/>
  <c r="L339" i="10"/>
  <c r="L342" i="10"/>
  <c r="L345" i="10"/>
  <c r="L341" i="10"/>
  <c r="L346" i="10"/>
  <c r="L344" i="10"/>
  <c r="L347" i="10"/>
  <c r="L348" i="10"/>
  <c r="L350" i="10"/>
  <c r="L343" i="10"/>
  <c r="L349" i="10"/>
  <c r="L351" i="10"/>
  <c r="L352" i="10"/>
  <c r="L353" i="10"/>
  <c r="L354" i="10"/>
  <c r="L356" i="10"/>
  <c r="L357" i="10"/>
  <c r="L355" i="10"/>
  <c r="L360" i="10"/>
  <c r="L361" i="10"/>
  <c r="L362" i="10"/>
  <c r="L363" i="10"/>
  <c r="L364" i="10"/>
  <c r="L366" i="10"/>
  <c r="L367" i="10"/>
  <c r="L359" i="10"/>
  <c r="L358" i="10"/>
  <c r="L365" i="10"/>
  <c r="L368" i="10"/>
  <c r="B21" i="7"/>
  <c r="K368" i="10"/>
  <c r="F368" i="10"/>
  <c r="E368" i="10"/>
  <c r="B368" i="10"/>
  <c r="K365" i="10"/>
  <c r="F365" i="10"/>
  <c r="E365" i="10"/>
  <c r="B365" i="10"/>
  <c r="K358" i="10"/>
  <c r="F358" i="10"/>
  <c r="E358" i="10"/>
  <c r="B358" i="10"/>
  <c r="K359" i="10"/>
  <c r="F359" i="10"/>
  <c r="E359" i="10"/>
  <c r="B359" i="10"/>
  <c r="K367" i="10"/>
  <c r="F367" i="10"/>
  <c r="E367" i="10"/>
  <c r="B367" i="10"/>
  <c r="K366" i="10"/>
  <c r="F366" i="10"/>
  <c r="E366" i="10"/>
  <c r="B366" i="10"/>
  <c r="K364" i="10"/>
  <c r="F364" i="10"/>
  <c r="E364" i="10"/>
  <c r="B364" i="10"/>
  <c r="K363" i="10"/>
  <c r="F363" i="10"/>
  <c r="E363" i="10"/>
  <c r="B363" i="10"/>
  <c r="K362" i="10"/>
  <c r="F362" i="10"/>
  <c r="E362" i="10"/>
  <c r="B362" i="10"/>
  <c r="K361" i="10"/>
  <c r="F361" i="10"/>
  <c r="E361" i="10"/>
  <c r="B361" i="10"/>
  <c r="K360" i="10"/>
  <c r="F360" i="10"/>
  <c r="E360" i="10"/>
  <c r="B360" i="10"/>
  <c r="K355" i="10"/>
  <c r="F355" i="10"/>
  <c r="E355" i="10"/>
  <c r="B355" i="10"/>
  <c r="K357" i="10"/>
  <c r="F357" i="10"/>
  <c r="E357" i="10"/>
  <c r="B357" i="10"/>
  <c r="K356" i="10"/>
  <c r="F356" i="10"/>
  <c r="E356" i="10"/>
  <c r="B356" i="10"/>
  <c r="K354" i="10"/>
  <c r="F354" i="10"/>
  <c r="E354" i="10"/>
  <c r="B354" i="10"/>
  <c r="K353" i="10"/>
  <c r="F353" i="10"/>
  <c r="E353" i="10"/>
  <c r="B353" i="10"/>
  <c r="K352" i="10"/>
  <c r="F352" i="10"/>
  <c r="E352" i="10"/>
  <c r="B352" i="10"/>
  <c r="K351" i="10"/>
  <c r="F351" i="10"/>
  <c r="E351" i="10"/>
  <c r="B351" i="10"/>
  <c r="K349" i="10"/>
  <c r="F349" i="10"/>
  <c r="E349" i="10"/>
  <c r="B349" i="10"/>
  <c r="K343" i="10"/>
  <c r="F343" i="10"/>
  <c r="E343" i="10"/>
  <c r="B343" i="10"/>
  <c r="K350" i="10"/>
  <c r="F350" i="10"/>
  <c r="E350" i="10"/>
  <c r="B350" i="10"/>
  <c r="K348" i="10"/>
  <c r="F348" i="10"/>
  <c r="E348" i="10"/>
  <c r="B348" i="10"/>
  <c r="K347" i="10"/>
  <c r="F347" i="10"/>
  <c r="E347" i="10"/>
  <c r="B347" i="10"/>
  <c r="K344" i="10"/>
  <c r="F344" i="10"/>
  <c r="E344" i="10"/>
  <c r="B344" i="10"/>
  <c r="K346" i="10"/>
  <c r="F346" i="10"/>
  <c r="E346" i="10"/>
  <c r="B346" i="10"/>
  <c r="K341" i="10"/>
  <c r="F341" i="10"/>
  <c r="E341" i="10"/>
  <c r="B341" i="10"/>
  <c r="K345" i="10"/>
  <c r="F345" i="10"/>
  <c r="E345" i="10"/>
  <c r="B345" i="10"/>
  <c r="K342" i="10"/>
  <c r="F342" i="10"/>
  <c r="E342" i="10"/>
  <c r="B342" i="10"/>
  <c r="K339" i="10"/>
  <c r="F339" i="10"/>
  <c r="E339" i="10"/>
  <c r="B339" i="10"/>
  <c r="K340" i="10"/>
  <c r="F340" i="10"/>
  <c r="E340" i="10"/>
  <c r="B340" i="10"/>
  <c r="K333" i="10"/>
  <c r="F333" i="10"/>
  <c r="E333" i="10"/>
  <c r="B333" i="10"/>
  <c r="K338" i="10"/>
  <c r="F338" i="10"/>
  <c r="E338" i="10"/>
  <c r="B338" i="10"/>
  <c r="K337" i="10"/>
  <c r="F337" i="10"/>
  <c r="E337" i="10"/>
  <c r="B337" i="10"/>
  <c r="K336" i="10"/>
  <c r="F336" i="10"/>
  <c r="E336" i="10"/>
  <c r="B336" i="10"/>
  <c r="K335" i="10"/>
  <c r="F335" i="10"/>
  <c r="E335" i="10"/>
  <c r="B335" i="10"/>
  <c r="K334" i="10"/>
  <c r="F334" i="10"/>
  <c r="E334" i="10"/>
  <c r="B334" i="10"/>
  <c r="K332" i="10"/>
  <c r="F332" i="10"/>
  <c r="E332" i="10"/>
  <c r="B332" i="10"/>
  <c r="K331" i="10"/>
  <c r="F331" i="10"/>
  <c r="E331" i="10"/>
  <c r="B331" i="10"/>
  <c r="K330" i="10"/>
  <c r="F330" i="10"/>
  <c r="E330" i="10"/>
  <c r="B330" i="10"/>
  <c r="K329" i="10"/>
  <c r="F329" i="10"/>
  <c r="E329" i="10"/>
  <c r="B329" i="10"/>
  <c r="K326" i="10"/>
  <c r="F326" i="10"/>
  <c r="E326" i="10"/>
  <c r="B326" i="10"/>
  <c r="K327" i="10"/>
  <c r="F327" i="10"/>
  <c r="E327" i="10"/>
  <c r="B327" i="10"/>
  <c r="K328" i="10"/>
  <c r="F328" i="10"/>
  <c r="E328" i="10"/>
  <c r="B328" i="10"/>
  <c r="K325" i="10"/>
  <c r="F325" i="10"/>
  <c r="E325" i="10"/>
  <c r="B325" i="10"/>
  <c r="K324" i="10"/>
  <c r="F324" i="10"/>
  <c r="E324" i="10"/>
  <c r="B324" i="10"/>
  <c r="K323" i="10"/>
  <c r="F323" i="10"/>
  <c r="E323" i="10"/>
  <c r="B323" i="10"/>
  <c r="K322" i="10"/>
  <c r="F322" i="10"/>
  <c r="E322" i="10"/>
  <c r="B322" i="10"/>
  <c r="K320" i="10"/>
  <c r="F320" i="10"/>
  <c r="E320" i="10"/>
  <c r="B320" i="10"/>
  <c r="K321" i="10"/>
  <c r="F321" i="10"/>
  <c r="E321" i="10"/>
  <c r="B321" i="10"/>
  <c r="K319" i="10"/>
  <c r="F319" i="10"/>
  <c r="E319" i="10"/>
  <c r="B319" i="10"/>
  <c r="K318" i="10"/>
  <c r="F318" i="10"/>
  <c r="E318" i="10"/>
  <c r="B318" i="10"/>
  <c r="K317" i="10"/>
  <c r="F317" i="10"/>
  <c r="E317" i="10"/>
  <c r="B317" i="10"/>
  <c r="K316" i="10"/>
  <c r="F316" i="10"/>
  <c r="E316" i="10"/>
  <c r="B316" i="10"/>
  <c r="K315" i="10"/>
  <c r="F315" i="10"/>
  <c r="E315" i="10"/>
  <c r="B315" i="10"/>
  <c r="K313" i="10"/>
  <c r="F313" i="10"/>
  <c r="E313" i="10"/>
  <c r="B313" i="10"/>
  <c r="K314" i="10"/>
  <c r="F314" i="10"/>
  <c r="E314" i="10"/>
  <c r="B314" i="10"/>
  <c r="K312" i="10"/>
  <c r="F312" i="10"/>
  <c r="E312" i="10"/>
  <c r="B312" i="10"/>
  <c r="K311" i="10"/>
  <c r="F311" i="10"/>
  <c r="E311" i="10"/>
  <c r="B311" i="10"/>
  <c r="K310" i="10"/>
  <c r="F310" i="10"/>
  <c r="E310" i="10"/>
  <c r="B310" i="10"/>
  <c r="K309" i="10"/>
  <c r="F309" i="10"/>
  <c r="E309" i="10"/>
  <c r="B309" i="10"/>
  <c r="K308" i="10"/>
  <c r="F308" i="10"/>
  <c r="E308" i="10"/>
  <c r="B308" i="10"/>
  <c r="K306" i="10"/>
  <c r="F306" i="10"/>
  <c r="E306" i="10"/>
  <c r="B306" i="10"/>
  <c r="K299" i="10"/>
  <c r="F299" i="10"/>
  <c r="E299" i="10"/>
  <c r="B299" i="10"/>
  <c r="K300" i="10"/>
  <c r="F300" i="10"/>
  <c r="E300" i="10"/>
  <c r="B300" i="10"/>
  <c r="K307" i="10"/>
  <c r="F307" i="10"/>
  <c r="E307" i="10"/>
  <c r="B307" i="10"/>
  <c r="K305" i="10"/>
  <c r="F305" i="10"/>
  <c r="E305" i="10"/>
  <c r="B305" i="10"/>
  <c r="K304" i="10"/>
  <c r="F304" i="10"/>
  <c r="E304" i="10"/>
  <c r="B304" i="10"/>
  <c r="K303" i="10"/>
  <c r="F303" i="10"/>
  <c r="E303" i="10"/>
  <c r="B303" i="10"/>
  <c r="K302" i="10"/>
  <c r="F302" i="10"/>
  <c r="E302" i="10"/>
  <c r="B302" i="10"/>
  <c r="K301" i="10"/>
  <c r="F301" i="10"/>
  <c r="E301" i="10"/>
  <c r="B301" i="10"/>
  <c r="K298" i="10"/>
  <c r="F298" i="10"/>
  <c r="E298" i="10"/>
  <c r="B298" i="10"/>
  <c r="K294" i="10"/>
  <c r="F294" i="10"/>
  <c r="E294" i="10"/>
  <c r="B294" i="10"/>
  <c r="K295" i="10"/>
  <c r="F295" i="10"/>
  <c r="E295" i="10"/>
  <c r="B295" i="10"/>
  <c r="K297" i="10"/>
  <c r="F297" i="10"/>
  <c r="E297" i="10"/>
  <c r="B297" i="10"/>
  <c r="K296" i="10"/>
  <c r="F296" i="10"/>
  <c r="E296" i="10"/>
  <c r="B296" i="10"/>
  <c r="K293" i="10"/>
  <c r="F293" i="10"/>
  <c r="E293" i="10"/>
  <c r="B293" i="10"/>
  <c r="K291" i="10"/>
  <c r="F291" i="10"/>
  <c r="E291" i="10"/>
  <c r="B291" i="10"/>
  <c r="K286" i="10"/>
  <c r="F286" i="10"/>
  <c r="E286" i="10"/>
  <c r="B286" i="10"/>
  <c r="K292" i="10"/>
  <c r="F292" i="10"/>
  <c r="E292" i="10"/>
  <c r="B292" i="10"/>
  <c r="K290" i="10"/>
  <c r="F290" i="10"/>
  <c r="E290" i="10"/>
  <c r="B290" i="10"/>
  <c r="K289" i="10"/>
  <c r="F289" i="10"/>
  <c r="E289" i="10"/>
  <c r="B289" i="10"/>
  <c r="K288" i="10"/>
  <c r="F288" i="10"/>
  <c r="E288" i="10"/>
  <c r="B288" i="10"/>
  <c r="K287" i="10"/>
  <c r="F287" i="10"/>
  <c r="E287" i="10"/>
  <c r="B287" i="10"/>
  <c r="K285" i="10"/>
  <c r="F285" i="10"/>
  <c r="E285" i="10"/>
  <c r="B285" i="10"/>
  <c r="K284" i="10"/>
  <c r="F284" i="10"/>
  <c r="E284" i="10"/>
  <c r="B284" i="10"/>
  <c r="K282" i="10"/>
  <c r="F282" i="10"/>
  <c r="E282" i="10"/>
  <c r="B282" i="10"/>
  <c r="K275" i="10"/>
  <c r="F275" i="10"/>
  <c r="E275" i="10"/>
  <c r="B275" i="10"/>
  <c r="K276" i="10"/>
  <c r="F276" i="10"/>
  <c r="E276" i="10"/>
  <c r="B276" i="10"/>
  <c r="K283" i="10"/>
  <c r="F283" i="10"/>
  <c r="E283" i="10"/>
  <c r="B283" i="10"/>
  <c r="K281" i="10"/>
  <c r="F281" i="10"/>
  <c r="E281" i="10"/>
  <c r="B281" i="10"/>
  <c r="K280" i="10"/>
  <c r="F280" i="10"/>
  <c r="E280" i="10"/>
  <c r="B280" i="10"/>
  <c r="K279" i="10"/>
  <c r="F279" i="10"/>
  <c r="E279" i="10"/>
  <c r="B279" i="10"/>
  <c r="K278" i="10"/>
  <c r="F278" i="10"/>
  <c r="E278" i="10"/>
  <c r="B278" i="10"/>
  <c r="K277" i="10"/>
  <c r="F277" i="10"/>
  <c r="E277" i="10"/>
  <c r="B277" i="10"/>
  <c r="K274" i="10"/>
  <c r="F274" i="10"/>
  <c r="E274" i="10"/>
  <c r="B274" i="10"/>
  <c r="K273" i="10"/>
  <c r="F273" i="10"/>
  <c r="E273" i="10"/>
  <c r="B273" i="10"/>
  <c r="K266" i="10"/>
  <c r="F266" i="10"/>
  <c r="E266" i="10"/>
  <c r="B266" i="10"/>
  <c r="K267" i="10"/>
  <c r="F267" i="10"/>
  <c r="E267" i="10"/>
  <c r="B267" i="10"/>
  <c r="K272" i="10"/>
  <c r="F272" i="10"/>
  <c r="E272" i="10"/>
  <c r="B272" i="10"/>
  <c r="K271" i="10"/>
  <c r="F271" i="10"/>
  <c r="E271" i="10"/>
  <c r="B271" i="10"/>
  <c r="K270" i="10"/>
  <c r="F270" i="10"/>
  <c r="E270" i="10"/>
  <c r="B270" i="10"/>
  <c r="K269" i="10"/>
  <c r="F269" i="10"/>
  <c r="E269" i="10"/>
  <c r="B269" i="10"/>
  <c r="K268" i="10"/>
  <c r="F268" i="10"/>
  <c r="E268" i="10"/>
  <c r="B268" i="10"/>
  <c r="K265" i="10"/>
  <c r="F265" i="10"/>
  <c r="E265" i="10"/>
  <c r="B265" i="10"/>
  <c r="K263" i="10"/>
  <c r="F263" i="10"/>
  <c r="E263" i="10"/>
  <c r="B263" i="10"/>
  <c r="K259" i="10"/>
  <c r="F259" i="10"/>
  <c r="E259" i="10"/>
  <c r="B259" i="10"/>
  <c r="K264" i="10"/>
  <c r="F264" i="10"/>
  <c r="E264" i="10"/>
  <c r="B264" i="10"/>
  <c r="K262" i="10"/>
  <c r="F262" i="10"/>
  <c r="E262" i="10"/>
  <c r="B262" i="10"/>
  <c r="K261" i="10"/>
  <c r="F261" i="10"/>
  <c r="E261" i="10"/>
  <c r="B261" i="10"/>
  <c r="K260" i="10"/>
  <c r="F260" i="10"/>
  <c r="E260" i="10"/>
  <c r="B260" i="10"/>
  <c r="K258" i="10"/>
  <c r="F258" i="10"/>
  <c r="E258" i="10"/>
  <c r="B258" i="10"/>
  <c r="K257" i="10"/>
  <c r="F257" i="10"/>
  <c r="E257" i="10"/>
  <c r="B257" i="10"/>
  <c r="K256" i="10"/>
  <c r="F256" i="10"/>
  <c r="E256" i="10"/>
  <c r="B256" i="10"/>
  <c r="K255" i="10"/>
  <c r="F255" i="10"/>
  <c r="E255" i="10"/>
  <c r="B255" i="10"/>
  <c r="K250" i="10"/>
  <c r="F250" i="10"/>
  <c r="E250" i="10"/>
  <c r="B250" i="10"/>
  <c r="K254" i="10"/>
  <c r="F254" i="10"/>
  <c r="E254" i="10"/>
  <c r="B254" i="10"/>
  <c r="K253" i="10"/>
  <c r="F253" i="10"/>
  <c r="E253" i="10"/>
  <c r="B253" i="10"/>
  <c r="K252" i="10"/>
  <c r="F252" i="10"/>
  <c r="E252" i="10"/>
  <c r="B252" i="10"/>
  <c r="K251" i="10"/>
  <c r="F251" i="10"/>
  <c r="E251" i="10"/>
  <c r="B251" i="10"/>
  <c r="K249" i="10"/>
  <c r="F249" i="10"/>
  <c r="E249" i="10"/>
  <c r="B249" i="10"/>
  <c r="K248" i="10"/>
  <c r="F248" i="10"/>
  <c r="E248" i="10"/>
  <c r="B248" i="10"/>
  <c r="K247" i="10"/>
  <c r="F247" i="10"/>
  <c r="E247" i="10"/>
  <c r="B247" i="10"/>
  <c r="B241" i="10"/>
  <c r="B246" i="10"/>
  <c r="E241" i="10"/>
  <c r="E246" i="10"/>
  <c r="F241" i="10"/>
  <c r="F246" i="10"/>
  <c r="K241" i="10"/>
  <c r="K246" i="10"/>
  <c r="K245" i="10"/>
  <c r="F245" i="10"/>
  <c r="E245" i="10"/>
  <c r="B245" i="10"/>
  <c r="K244" i="10"/>
  <c r="F244" i="10"/>
  <c r="E244" i="10"/>
  <c r="B244" i="10"/>
  <c r="K243" i="10"/>
  <c r="F243" i="10"/>
  <c r="E243" i="10"/>
  <c r="B243" i="10"/>
  <c r="K242" i="10"/>
  <c r="F242" i="10"/>
  <c r="E242" i="10"/>
  <c r="B242" i="10"/>
  <c r="K240" i="10"/>
  <c r="F240" i="10"/>
  <c r="E240" i="10"/>
  <c r="B240" i="10"/>
  <c r="K239" i="10"/>
  <c r="F239" i="10"/>
  <c r="E239" i="10"/>
  <c r="B239" i="10"/>
  <c r="K233" i="10"/>
  <c r="F233" i="10"/>
  <c r="E233" i="10"/>
  <c r="B233" i="10"/>
  <c r="K224" i="10"/>
  <c r="F224" i="10"/>
  <c r="E224" i="10"/>
  <c r="B224" i="10"/>
  <c r="K235" i="10"/>
  <c r="F235" i="10"/>
  <c r="E235" i="10"/>
  <c r="B235" i="10"/>
  <c r="K230" i="10"/>
  <c r="F230" i="10"/>
  <c r="E230" i="10"/>
  <c r="B230" i="10"/>
  <c r="K229" i="10"/>
  <c r="F229" i="10"/>
  <c r="E229" i="10"/>
  <c r="B229" i="10"/>
  <c r="K238" i="10"/>
  <c r="F238" i="10"/>
  <c r="E238" i="10"/>
  <c r="B238" i="10"/>
  <c r="K227" i="10"/>
  <c r="F227" i="10"/>
  <c r="E227" i="10"/>
  <c r="B227" i="10"/>
  <c r="K236" i="10"/>
  <c r="F236" i="10"/>
  <c r="E236" i="10"/>
  <c r="B236" i="10"/>
  <c r="K228" i="10"/>
  <c r="F228" i="10"/>
  <c r="E228" i="10"/>
  <c r="B228" i="10"/>
  <c r="K226" i="10"/>
  <c r="F226" i="10"/>
  <c r="E226" i="10"/>
  <c r="B226" i="10"/>
  <c r="K234" i="10"/>
  <c r="F234" i="10"/>
  <c r="E234" i="10"/>
  <c r="B234" i="10"/>
  <c r="K231" i="10"/>
  <c r="F231" i="10"/>
  <c r="E231" i="10"/>
  <c r="B231" i="10"/>
  <c r="K232" i="10"/>
  <c r="F232" i="10"/>
  <c r="E232" i="10"/>
  <c r="B232" i="10"/>
  <c r="K237" i="10"/>
  <c r="F237" i="10"/>
  <c r="E237" i="10"/>
  <c r="B237" i="10"/>
  <c r="K225" i="10"/>
  <c r="F225" i="10"/>
  <c r="E225" i="10"/>
  <c r="B225" i="10"/>
  <c r="K223" i="10"/>
  <c r="F223" i="10"/>
  <c r="E223" i="10"/>
  <c r="B223" i="10"/>
  <c r="B211" i="10"/>
  <c r="E211" i="10"/>
  <c r="F211" i="10"/>
  <c r="K211" i="10"/>
  <c r="K219" i="10"/>
  <c r="F219" i="10"/>
  <c r="E219" i="10"/>
  <c r="B219" i="10"/>
  <c r="K215" i="10"/>
  <c r="F215" i="10"/>
  <c r="E215" i="10"/>
  <c r="B215" i="10"/>
  <c r="K214" i="10"/>
  <c r="F214" i="10"/>
  <c r="E214" i="10"/>
  <c r="B214" i="10"/>
  <c r="K222" i="10"/>
  <c r="F222" i="10"/>
  <c r="E222" i="10"/>
  <c r="B222" i="10"/>
  <c r="K212" i="10"/>
  <c r="F212" i="10"/>
  <c r="E212" i="10"/>
  <c r="B212" i="10"/>
  <c r="K220" i="10"/>
  <c r="F220" i="10"/>
  <c r="E220" i="10"/>
  <c r="B220" i="10"/>
  <c r="K213" i="10"/>
  <c r="F213" i="10"/>
  <c r="E213" i="10"/>
  <c r="B213" i="10"/>
  <c r="K218" i="10"/>
  <c r="F218" i="10"/>
  <c r="E218" i="10"/>
  <c r="B218" i="10"/>
  <c r="K216" i="10"/>
  <c r="F216" i="10"/>
  <c r="E216" i="10"/>
  <c r="B216" i="10"/>
  <c r="K217" i="10"/>
  <c r="F217" i="10"/>
  <c r="E217" i="10"/>
  <c r="B217" i="10"/>
  <c r="K221" i="10"/>
  <c r="F221" i="10"/>
  <c r="E221" i="10"/>
  <c r="B221" i="10"/>
  <c r="K210" i="10"/>
  <c r="F210" i="10"/>
  <c r="E210" i="10"/>
  <c r="B210" i="10"/>
  <c r="K209" i="10"/>
  <c r="F209" i="10"/>
  <c r="E209" i="10"/>
  <c r="B209" i="10"/>
  <c r="K199" i="10"/>
  <c r="F199" i="10"/>
  <c r="E199" i="10"/>
  <c r="B199" i="10"/>
  <c r="K188" i="10"/>
  <c r="F188" i="10"/>
  <c r="E188" i="10"/>
  <c r="B188" i="10"/>
  <c r="K208" i="10"/>
  <c r="F208" i="10"/>
  <c r="E208" i="10"/>
  <c r="B208" i="10"/>
  <c r="K205" i="10"/>
  <c r="F205" i="10"/>
  <c r="E205" i="10"/>
  <c r="B205" i="10"/>
  <c r="K193" i="10"/>
  <c r="F193" i="10"/>
  <c r="E193" i="10"/>
  <c r="B193" i="10"/>
  <c r="K207" i="10"/>
  <c r="F207" i="10"/>
  <c r="E207" i="10"/>
  <c r="B207" i="10"/>
  <c r="K203" i="10"/>
  <c r="F203" i="10"/>
  <c r="E203" i="10"/>
  <c r="B203" i="10"/>
  <c r="K202" i="10"/>
  <c r="F202" i="10"/>
  <c r="E202" i="10"/>
  <c r="B202" i="10"/>
  <c r="K204" i="10"/>
  <c r="F204" i="10"/>
  <c r="E204" i="10"/>
  <c r="B204" i="10"/>
  <c r="K195" i="10"/>
  <c r="F195" i="10"/>
  <c r="E195" i="10"/>
  <c r="B195" i="10"/>
  <c r="K194" i="10"/>
  <c r="F194" i="10"/>
  <c r="E194" i="10"/>
  <c r="B194" i="10"/>
  <c r="K201" i="10"/>
  <c r="F201" i="10"/>
  <c r="E201" i="10"/>
  <c r="B201" i="10"/>
  <c r="K191" i="10"/>
  <c r="F191" i="10"/>
  <c r="E191" i="10"/>
  <c r="B191" i="10"/>
  <c r="K198" i="10"/>
  <c r="F198" i="10"/>
  <c r="E198" i="10"/>
  <c r="B198" i="10"/>
  <c r="K192" i="10"/>
  <c r="F192" i="10"/>
  <c r="E192" i="10"/>
  <c r="B192" i="10"/>
  <c r="K187" i="10"/>
  <c r="F187" i="10"/>
  <c r="E187" i="10"/>
  <c r="B187" i="10"/>
  <c r="K190" i="10"/>
  <c r="F190" i="10"/>
  <c r="E190" i="10"/>
  <c r="B190" i="10"/>
  <c r="K200" i="10"/>
  <c r="F200" i="10"/>
  <c r="E200" i="10"/>
  <c r="B200" i="10"/>
  <c r="K196" i="10"/>
  <c r="F196" i="10"/>
  <c r="E196" i="10"/>
  <c r="B196" i="10"/>
  <c r="K197" i="10"/>
  <c r="F197" i="10"/>
  <c r="E197" i="10"/>
  <c r="B197" i="10"/>
  <c r="K206" i="10"/>
  <c r="F206" i="10"/>
  <c r="E206" i="10"/>
  <c r="B206" i="10"/>
  <c r="K189" i="10"/>
  <c r="F189" i="10"/>
  <c r="E189" i="10"/>
  <c r="B189" i="10"/>
  <c r="K186" i="10"/>
  <c r="F186" i="10"/>
  <c r="E186" i="10"/>
  <c r="B186" i="10"/>
  <c r="K185" i="10"/>
  <c r="F185" i="10"/>
  <c r="E185" i="10"/>
  <c r="B185" i="10"/>
  <c r="K182" i="10"/>
  <c r="F182" i="10"/>
  <c r="E182" i="10"/>
  <c r="B182" i="10"/>
  <c r="K171" i="10"/>
  <c r="F171" i="10"/>
  <c r="E171" i="10"/>
  <c r="B171" i="10"/>
  <c r="K184" i="10"/>
  <c r="F184" i="10"/>
  <c r="E184" i="10"/>
  <c r="B184" i="10"/>
  <c r="K180" i="10"/>
  <c r="F180" i="10"/>
  <c r="E180" i="10"/>
  <c r="B180" i="10"/>
  <c r="K179" i="10"/>
  <c r="F179" i="10"/>
  <c r="E179" i="10"/>
  <c r="B179" i="10"/>
  <c r="K181" i="10"/>
  <c r="F181" i="10"/>
  <c r="E181" i="10"/>
  <c r="B181" i="10"/>
  <c r="K173" i="10"/>
  <c r="F173" i="10"/>
  <c r="E173" i="10"/>
  <c r="B173" i="10"/>
  <c r="K172" i="10"/>
  <c r="F172" i="10"/>
  <c r="E172" i="10"/>
  <c r="B172" i="10"/>
  <c r="K178" i="10"/>
  <c r="F178" i="10"/>
  <c r="E178" i="10"/>
  <c r="B178" i="10"/>
  <c r="K169" i="10"/>
  <c r="F169" i="10"/>
  <c r="E169" i="10"/>
  <c r="B169" i="10"/>
  <c r="K176" i="10"/>
  <c r="F176" i="10"/>
  <c r="E176" i="10"/>
  <c r="B176" i="10"/>
  <c r="K170" i="10"/>
  <c r="F170" i="10"/>
  <c r="E170" i="10"/>
  <c r="B170" i="10"/>
  <c r="K166" i="10"/>
  <c r="F166" i="10"/>
  <c r="E166" i="10"/>
  <c r="B166" i="10"/>
  <c r="K168" i="10"/>
  <c r="F168" i="10"/>
  <c r="E168" i="10"/>
  <c r="B168" i="10"/>
  <c r="K177" i="10"/>
  <c r="F177" i="10"/>
  <c r="E177" i="10"/>
  <c r="B177" i="10"/>
  <c r="K174" i="10"/>
  <c r="F174" i="10"/>
  <c r="E174" i="10"/>
  <c r="B174" i="10"/>
  <c r="K175" i="10"/>
  <c r="F175" i="10"/>
  <c r="E175" i="10"/>
  <c r="B175" i="10"/>
  <c r="K183" i="10"/>
  <c r="F183" i="10"/>
  <c r="E183" i="10"/>
  <c r="B183" i="10"/>
  <c r="K167" i="10"/>
  <c r="F167" i="10"/>
  <c r="E167" i="10"/>
  <c r="B167" i="10"/>
  <c r="K165" i="10"/>
  <c r="F165" i="10"/>
  <c r="E165" i="10"/>
  <c r="B165" i="10"/>
  <c r="K157" i="10"/>
  <c r="F157" i="10"/>
  <c r="E157" i="10"/>
  <c r="B157" i="10"/>
  <c r="K147" i="10"/>
  <c r="F147" i="10"/>
  <c r="E147" i="10"/>
  <c r="B147" i="10"/>
  <c r="K164" i="10"/>
  <c r="F164" i="10"/>
  <c r="E164" i="10"/>
  <c r="B164" i="10"/>
  <c r="K161" i="10"/>
  <c r="F161" i="10"/>
  <c r="E161" i="10"/>
  <c r="B161" i="10"/>
  <c r="K160" i="10"/>
  <c r="F160" i="10"/>
  <c r="E160" i="10"/>
  <c r="B160" i="10"/>
  <c r="K162" i="10"/>
  <c r="F162" i="10"/>
  <c r="E162" i="10"/>
  <c r="B162" i="10"/>
  <c r="K153" i="10"/>
  <c r="F153" i="10"/>
  <c r="E153" i="10"/>
  <c r="B153" i="10"/>
  <c r="K152" i="10"/>
  <c r="F152" i="10"/>
  <c r="E152" i="10"/>
  <c r="B152" i="10"/>
  <c r="K159" i="10"/>
  <c r="F159" i="10"/>
  <c r="E159" i="10"/>
  <c r="B159" i="10"/>
  <c r="K150" i="10"/>
  <c r="F150" i="10"/>
  <c r="E150" i="10"/>
  <c r="B150" i="10"/>
  <c r="K156" i="10"/>
  <c r="F156" i="10"/>
  <c r="E156" i="10"/>
  <c r="B156" i="10"/>
  <c r="K151" i="10"/>
  <c r="F151" i="10"/>
  <c r="E151" i="10"/>
  <c r="B151" i="10"/>
  <c r="K146" i="10"/>
  <c r="F146" i="10"/>
  <c r="E146" i="10"/>
  <c r="B146" i="10"/>
  <c r="K149" i="10"/>
  <c r="F149" i="10"/>
  <c r="E149" i="10"/>
  <c r="B149" i="10"/>
  <c r="K158" i="10"/>
  <c r="F158" i="10"/>
  <c r="E158" i="10"/>
  <c r="B158" i="10"/>
  <c r="K154" i="10"/>
  <c r="F154" i="10"/>
  <c r="E154" i="10"/>
  <c r="B154" i="10"/>
  <c r="K155" i="10"/>
  <c r="F155" i="10"/>
  <c r="E155" i="10"/>
  <c r="B155" i="10"/>
  <c r="K163" i="10"/>
  <c r="F163" i="10"/>
  <c r="E163" i="10"/>
  <c r="B163" i="10"/>
  <c r="K148" i="10"/>
  <c r="F148" i="10"/>
  <c r="E148" i="10"/>
  <c r="B148" i="10"/>
  <c r="K145" i="10"/>
  <c r="F145" i="10"/>
  <c r="E145" i="10"/>
  <c r="B145" i="10"/>
  <c r="K144" i="10"/>
  <c r="F144" i="10"/>
  <c r="E144" i="10"/>
  <c r="B144" i="10"/>
  <c r="K141" i="10"/>
  <c r="F141" i="10"/>
  <c r="E141" i="10"/>
  <c r="B141" i="10"/>
  <c r="K140" i="10"/>
  <c r="F140" i="10"/>
  <c r="E140" i="10"/>
  <c r="B140" i="10"/>
  <c r="K142" i="10"/>
  <c r="F142" i="10"/>
  <c r="E142" i="10"/>
  <c r="B142" i="10"/>
  <c r="K134" i="10"/>
  <c r="F134" i="10"/>
  <c r="E134" i="10"/>
  <c r="B134" i="10"/>
  <c r="K133" i="10"/>
  <c r="F133" i="10"/>
  <c r="E133" i="10"/>
  <c r="B133" i="10"/>
  <c r="K139" i="10"/>
  <c r="F139" i="10"/>
  <c r="E139" i="10"/>
  <c r="B139" i="10"/>
  <c r="K131" i="10"/>
  <c r="F131" i="10"/>
  <c r="E131" i="10"/>
  <c r="B131" i="10"/>
  <c r="K137" i="10"/>
  <c r="F137" i="10"/>
  <c r="E137" i="10"/>
  <c r="B137" i="10"/>
  <c r="K132" i="10"/>
  <c r="F132" i="10"/>
  <c r="E132" i="10"/>
  <c r="B132" i="10"/>
  <c r="K128" i="10"/>
  <c r="F128" i="10"/>
  <c r="E128" i="10"/>
  <c r="B128" i="10"/>
  <c r="K130" i="10"/>
  <c r="F130" i="10"/>
  <c r="E130" i="10"/>
  <c r="B130" i="10"/>
  <c r="K138" i="10"/>
  <c r="F138" i="10"/>
  <c r="E138" i="10"/>
  <c r="B138" i="10"/>
  <c r="K135" i="10"/>
  <c r="F135" i="10"/>
  <c r="E135" i="10"/>
  <c r="B135" i="10"/>
  <c r="K136" i="10"/>
  <c r="F136" i="10"/>
  <c r="E136" i="10"/>
  <c r="B136" i="10"/>
  <c r="K143" i="10"/>
  <c r="F143" i="10"/>
  <c r="E143" i="10"/>
  <c r="B143" i="10"/>
  <c r="K129" i="10"/>
  <c r="F129" i="10"/>
  <c r="E129" i="10"/>
  <c r="B129" i="10"/>
  <c r="K127" i="10"/>
  <c r="F127" i="10"/>
  <c r="E127" i="10"/>
  <c r="B127" i="10"/>
  <c r="F18" i="10"/>
  <c r="F25" i="10"/>
  <c r="F27" i="10"/>
  <c r="F30" i="10"/>
  <c r="F40" i="10"/>
  <c r="F37" i="10"/>
  <c r="F36" i="10"/>
  <c r="F38" i="10"/>
  <c r="F28" i="10"/>
  <c r="F29" i="10"/>
  <c r="F31" i="10"/>
  <c r="F32" i="10"/>
  <c r="F33" i="10"/>
  <c r="F41" i="10"/>
  <c r="F34" i="10"/>
  <c r="F35" i="10"/>
  <c r="F39" i="10"/>
  <c r="F42" i="10"/>
  <c r="F46" i="10"/>
  <c r="F57" i="10"/>
  <c r="F53" i="10"/>
  <c r="F52" i="10"/>
  <c r="F55" i="10"/>
  <c r="F43" i="10"/>
  <c r="F44" i="10"/>
  <c r="F47" i="10"/>
  <c r="F48" i="10"/>
  <c r="F49" i="10"/>
  <c r="F58" i="10"/>
  <c r="F50" i="10"/>
  <c r="F51" i="10"/>
  <c r="F56" i="10"/>
  <c r="F45" i="10"/>
  <c r="F54" i="10"/>
  <c r="F2" i="10"/>
  <c r="F3" i="10"/>
  <c r="F59" i="10"/>
  <c r="F62" i="10"/>
  <c r="F73" i="10"/>
  <c r="F70" i="10"/>
  <c r="F69" i="10"/>
  <c r="F71" i="10"/>
  <c r="F60" i="10"/>
  <c r="F61" i="10"/>
  <c r="F63" i="10"/>
  <c r="F64" i="10"/>
  <c r="F65" i="10"/>
  <c r="F74" i="10"/>
  <c r="F67" i="10"/>
  <c r="F68" i="10"/>
  <c r="F72" i="10"/>
  <c r="F75" i="10"/>
  <c r="F66" i="10"/>
  <c r="F76" i="10"/>
  <c r="F80" i="10"/>
  <c r="F92" i="10"/>
  <c r="F88" i="10"/>
  <c r="F87" i="10"/>
  <c r="F90" i="10"/>
  <c r="F77" i="10"/>
  <c r="F78" i="10"/>
  <c r="F81" i="10"/>
  <c r="F82" i="10"/>
  <c r="F83" i="10"/>
  <c r="F93" i="10"/>
  <c r="F85" i="10"/>
  <c r="F86" i="10"/>
  <c r="F91" i="10"/>
  <c r="F94" i="10"/>
  <c r="F84" i="10"/>
  <c r="F79" i="10"/>
  <c r="F89" i="10"/>
  <c r="F95" i="10"/>
  <c r="F97" i="10"/>
  <c r="F108" i="10"/>
  <c r="F104" i="10"/>
  <c r="F103" i="10"/>
  <c r="F105" i="10"/>
  <c r="F96" i="10"/>
  <c r="F106" i="10"/>
  <c r="F100" i="10"/>
  <c r="F98" i="10"/>
  <c r="F99" i="10"/>
  <c r="F109" i="10"/>
  <c r="F101" i="10"/>
  <c r="F102" i="10"/>
  <c r="F107" i="10"/>
  <c r="F110" i="10"/>
  <c r="F113" i="10"/>
  <c r="F125" i="10"/>
  <c r="F120" i="10"/>
  <c r="F119" i="10"/>
  <c r="F122" i="10"/>
  <c r="F111" i="10"/>
  <c r="F123" i="10"/>
  <c r="F116" i="10"/>
  <c r="F114" i="10"/>
  <c r="F115" i="10"/>
  <c r="F126" i="10"/>
  <c r="F117" i="10"/>
  <c r="F118" i="10"/>
  <c r="F124" i="10"/>
  <c r="F112" i="10"/>
  <c r="F121" i="10"/>
  <c r="F5" i="10"/>
  <c r="F8" i="10"/>
  <c r="F11" i="10"/>
  <c r="F12" i="10"/>
  <c r="F13" i="10"/>
  <c r="F9" i="10"/>
  <c r="F10" i="10"/>
  <c r="F6" i="10"/>
  <c r="F7" i="10"/>
  <c r="F14" i="10"/>
  <c r="F15" i="10"/>
  <c r="F16" i="10"/>
  <c r="F23" i="10"/>
  <c r="F24" i="10"/>
  <c r="F26" i="10"/>
  <c r="F20" i="10"/>
  <c r="F19" i="10"/>
  <c r="F22" i="10"/>
  <c r="F21" i="10"/>
  <c r="F17" i="10"/>
  <c r="E5" i="10"/>
  <c r="E8" i="10"/>
  <c r="E11" i="10"/>
  <c r="E12" i="10"/>
  <c r="E13" i="10"/>
  <c r="E9" i="10"/>
  <c r="E10" i="10"/>
  <c r="E6" i="10"/>
  <c r="E7" i="10"/>
  <c r="E14" i="10"/>
  <c r="E15" i="10"/>
  <c r="E16" i="10"/>
  <c r="E23" i="10"/>
  <c r="E24" i="10"/>
  <c r="E26" i="10"/>
  <c r="E20" i="10"/>
  <c r="E19" i="10"/>
  <c r="E22" i="10"/>
  <c r="E21" i="10"/>
  <c r="E17" i="10"/>
  <c r="E18" i="10"/>
  <c r="E25" i="10"/>
  <c r="E27" i="10"/>
  <c r="E30" i="10"/>
  <c r="E40" i="10"/>
  <c r="E37" i="10"/>
  <c r="E36" i="10"/>
  <c r="E38" i="10"/>
  <c r="E28" i="10"/>
  <c r="E29" i="10"/>
  <c r="E31" i="10"/>
  <c r="E32" i="10"/>
  <c r="E33" i="10"/>
  <c r="E41" i="10"/>
  <c r="E34" i="10"/>
  <c r="E35" i="10"/>
  <c r="E39" i="10"/>
  <c r="E42" i="10"/>
  <c r="E46" i="10"/>
  <c r="E57" i="10"/>
  <c r="E53" i="10"/>
  <c r="E52" i="10"/>
  <c r="E55" i="10"/>
  <c r="E43" i="10"/>
  <c r="E44" i="10"/>
  <c r="E47" i="10"/>
  <c r="E48" i="10"/>
  <c r="E49" i="10"/>
  <c r="E58" i="10"/>
  <c r="E50" i="10"/>
  <c r="E51" i="10"/>
  <c r="E56" i="10"/>
  <c r="E45" i="10"/>
  <c r="E54" i="10"/>
  <c r="E2" i="10"/>
  <c r="E3" i="10"/>
  <c r="E59" i="10"/>
  <c r="E62" i="10"/>
  <c r="E73" i="10"/>
  <c r="E70" i="10"/>
  <c r="E69" i="10"/>
  <c r="E71" i="10"/>
  <c r="E60" i="10"/>
  <c r="E61" i="10"/>
  <c r="E63" i="10"/>
  <c r="E64" i="10"/>
  <c r="E65" i="10"/>
  <c r="E74" i="10"/>
  <c r="E67" i="10"/>
  <c r="E68" i="10"/>
  <c r="E72" i="10"/>
  <c r="E75" i="10"/>
  <c r="E66" i="10"/>
  <c r="E76" i="10"/>
  <c r="E80" i="10"/>
  <c r="E92" i="10"/>
  <c r="E88" i="10"/>
  <c r="E87" i="10"/>
  <c r="E90" i="10"/>
  <c r="E77" i="10"/>
  <c r="E78" i="10"/>
  <c r="E81" i="10"/>
  <c r="E82" i="10"/>
  <c r="E83" i="10"/>
  <c r="E93" i="10"/>
  <c r="E85" i="10"/>
  <c r="E86" i="10"/>
  <c r="E91" i="10"/>
  <c r="E94" i="10"/>
  <c r="E84" i="10"/>
  <c r="E79" i="10"/>
  <c r="E89" i="10"/>
  <c r="E95" i="10"/>
  <c r="E97" i="10"/>
  <c r="E108" i="10"/>
  <c r="E104" i="10"/>
  <c r="E103" i="10"/>
  <c r="E105" i="10"/>
  <c r="E96" i="10"/>
  <c r="E106" i="10"/>
  <c r="E100" i="10"/>
  <c r="E98" i="10"/>
  <c r="E99" i="10"/>
  <c r="E109" i="10"/>
  <c r="E101" i="10"/>
  <c r="E102" i="10"/>
  <c r="E107" i="10"/>
  <c r="E110" i="10"/>
  <c r="E113" i="10"/>
  <c r="E125" i="10"/>
  <c r="E120" i="10"/>
  <c r="E119" i="10"/>
  <c r="E122" i="10"/>
  <c r="E111" i="10"/>
  <c r="E123" i="10"/>
  <c r="E116" i="10"/>
  <c r="E114" i="10"/>
  <c r="E115" i="10"/>
  <c r="E126" i="10"/>
  <c r="E117" i="10"/>
  <c r="E118" i="10"/>
  <c r="E124" i="10"/>
  <c r="E112" i="10"/>
  <c r="E121" i="10"/>
  <c r="K121" i="10"/>
  <c r="B121" i="10"/>
  <c r="K112" i="10"/>
  <c r="B112" i="10"/>
  <c r="K124" i="10"/>
  <c r="B124" i="10"/>
  <c r="K118" i="10"/>
  <c r="B118" i="10"/>
  <c r="K117" i="10"/>
  <c r="B117" i="10"/>
  <c r="K126" i="10"/>
  <c r="B126" i="10"/>
  <c r="K115" i="10"/>
  <c r="B115" i="10"/>
  <c r="K114" i="10"/>
  <c r="B114" i="10"/>
  <c r="K116" i="10"/>
  <c r="B116" i="10"/>
  <c r="K123" i="10"/>
  <c r="B123" i="10"/>
  <c r="K111" i="10"/>
  <c r="B111" i="10"/>
  <c r="K122" i="10"/>
  <c r="B122" i="10"/>
  <c r="K119" i="10"/>
  <c r="B119" i="10"/>
  <c r="K120" i="10"/>
  <c r="B120" i="10"/>
  <c r="K125" i="10"/>
  <c r="B125" i="10"/>
  <c r="K113" i="10"/>
  <c r="B113" i="10"/>
  <c r="K110" i="10"/>
  <c r="B110" i="10"/>
  <c r="K107" i="10"/>
  <c r="B107" i="10"/>
  <c r="K102" i="10"/>
  <c r="B102" i="10"/>
  <c r="K101" i="10"/>
  <c r="B101" i="10"/>
  <c r="K109" i="10"/>
  <c r="B109" i="10"/>
  <c r="K99" i="10"/>
  <c r="B99" i="10"/>
  <c r="K98" i="10"/>
  <c r="B98" i="10"/>
  <c r="K100" i="10"/>
  <c r="B100" i="10"/>
  <c r="K106" i="10"/>
  <c r="B106" i="10"/>
  <c r="K96" i="10"/>
  <c r="B96" i="10"/>
  <c r="K105" i="10"/>
  <c r="B105" i="10"/>
  <c r="K103" i="10"/>
  <c r="B103" i="10"/>
  <c r="K104" i="10"/>
  <c r="B104" i="10"/>
  <c r="K108" i="10"/>
  <c r="B108" i="10"/>
  <c r="K97" i="10"/>
  <c r="B97" i="10"/>
  <c r="K95" i="10"/>
  <c r="B95" i="10"/>
  <c r="K89" i="10"/>
  <c r="B89" i="10"/>
  <c r="K79" i="10"/>
  <c r="B79" i="10"/>
  <c r="K84" i="10"/>
  <c r="B84" i="10"/>
  <c r="K94" i="10"/>
  <c r="B94" i="10"/>
  <c r="K91" i="10"/>
  <c r="B91" i="10"/>
  <c r="K86" i="10"/>
  <c r="B86" i="10"/>
  <c r="K85" i="10"/>
  <c r="B85" i="10"/>
  <c r="K93" i="10"/>
  <c r="B93" i="10"/>
  <c r="K83" i="10"/>
  <c r="B83" i="10"/>
  <c r="K82" i="10"/>
  <c r="B82" i="10"/>
  <c r="K81" i="10"/>
  <c r="B81" i="10"/>
  <c r="K78" i="10"/>
  <c r="B78" i="10"/>
  <c r="K77" i="10"/>
  <c r="B77" i="10"/>
  <c r="K90" i="10"/>
  <c r="B90" i="10"/>
  <c r="K87" i="10"/>
  <c r="B87" i="10"/>
  <c r="K88" i="10"/>
  <c r="B88" i="10"/>
  <c r="K92" i="10"/>
  <c r="B92" i="10"/>
  <c r="K80" i="10"/>
  <c r="B80" i="10"/>
  <c r="K76" i="10"/>
  <c r="B76" i="10"/>
  <c r="K66" i="10"/>
  <c r="B66" i="10"/>
  <c r="K75" i="10"/>
  <c r="B75" i="10"/>
  <c r="K72" i="10"/>
  <c r="B72" i="10"/>
  <c r="K68" i="10"/>
  <c r="B68" i="10"/>
  <c r="K67" i="10"/>
  <c r="B67" i="10"/>
  <c r="K74" i="10"/>
  <c r="B74" i="10"/>
  <c r="K65" i="10"/>
  <c r="B65" i="10"/>
  <c r="K64" i="10"/>
  <c r="B64" i="10"/>
  <c r="K63" i="10"/>
  <c r="B63" i="10"/>
  <c r="K61" i="10"/>
  <c r="B61" i="10"/>
  <c r="K60" i="10"/>
  <c r="B60" i="10"/>
  <c r="K71" i="10"/>
  <c r="B71" i="10"/>
  <c r="K69" i="10"/>
  <c r="B69" i="10"/>
  <c r="K70" i="10"/>
  <c r="B70" i="10"/>
  <c r="K73" i="10"/>
  <c r="B73" i="10"/>
  <c r="K62" i="10"/>
  <c r="B62" i="10"/>
  <c r="K59" i="10"/>
  <c r="B59" i="10"/>
  <c r="K3" i="10"/>
  <c r="B3" i="10"/>
  <c r="K2" i="10"/>
  <c r="B2" i="10"/>
  <c r="K54" i="10"/>
  <c r="B54" i="10"/>
  <c r="K45" i="10"/>
  <c r="B45" i="10"/>
  <c r="K56" i="10"/>
  <c r="B56" i="10"/>
  <c r="K51" i="10"/>
  <c r="B51" i="10"/>
  <c r="K50" i="10"/>
  <c r="B50" i="10"/>
  <c r="K58" i="10"/>
  <c r="B58" i="10"/>
  <c r="K49" i="10"/>
  <c r="B49" i="10"/>
  <c r="K48" i="10"/>
  <c r="B48" i="10"/>
  <c r="K47" i="10"/>
  <c r="B47" i="10"/>
  <c r="K44" i="10"/>
  <c r="B44" i="10"/>
  <c r="K43" i="10"/>
  <c r="B43" i="10"/>
  <c r="K55" i="10"/>
  <c r="B55" i="10"/>
  <c r="K52" i="10"/>
  <c r="B52" i="10"/>
  <c r="K53" i="10"/>
  <c r="B53" i="10"/>
  <c r="K57" i="10"/>
  <c r="B57" i="10"/>
  <c r="K46" i="10"/>
  <c r="B46" i="10"/>
  <c r="K42" i="10"/>
  <c r="B42" i="10"/>
  <c r="C9" i="12"/>
  <c r="I9" i="12" s="1"/>
  <c r="C11" i="12"/>
  <c r="C10" i="12"/>
  <c r="C12" i="12"/>
  <c r="C13" i="12"/>
  <c r="I13" i="12" s="1"/>
  <c r="C14" i="12"/>
  <c r="I14" i="12" s="1"/>
  <c r="C15" i="12"/>
  <c r="C16" i="12"/>
  <c r="I16" i="12" s="1"/>
  <c r="C17" i="12"/>
  <c r="I17" i="12" s="1"/>
  <c r="C18" i="12"/>
  <c r="I18" i="12" s="1"/>
  <c r="C19" i="12"/>
  <c r="C20" i="12"/>
  <c r="C21" i="12"/>
  <c r="K39" i="10"/>
  <c r="B39" i="10"/>
  <c r="K35" i="10"/>
  <c r="B35" i="10"/>
  <c r="K34" i="10"/>
  <c r="B34" i="10"/>
  <c r="K41" i="10"/>
  <c r="B41" i="10"/>
  <c r="K33" i="10"/>
  <c r="B33" i="10"/>
  <c r="K32" i="10"/>
  <c r="B32" i="10"/>
  <c r="K31" i="10"/>
  <c r="B31" i="10"/>
  <c r="K29" i="10"/>
  <c r="B29" i="10"/>
  <c r="K28" i="10"/>
  <c r="B28" i="10"/>
  <c r="K38" i="10"/>
  <c r="B38" i="10"/>
  <c r="K36" i="10"/>
  <c r="B36" i="10"/>
  <c r="K37" i="10"/>
  <c r="B37" i="10"/>
  <c r="K40" i="10"/>
  <c r="B40" i="10"/>
  <c r="K30" i="10"/>
  <c r="B30" i="10"/>
  <c r="K27" i="10"/>
  <c r="B27" i="10"/>
  <c r="I33" i="12"/>
  <c r="G33" i="12"/>
  <c r="H33" i="12" s="1"/>
  <c r="D33" i="12"/>
  <c r="C33" i="12"/>
  <c r="I32" i="12"/>
  <c r="G32" i="12"/>
  <c r="H32" i="12" s="1"/>
  <c r="D32" i="12"/>
  <c r="C32" i="12"/>
  <c r="I31" i="12"/>
  <c r="G31" i="12"/>
  <c r="H31" i="12" s="1"/>
  <c r="D31" i="12"/>
  <c r="C31" i="12"/>
  <c r="I30" i="12"/>
  <c r="G30" i="12"/>
  <c r="H30" i="12" s="1"/>
  <c r="D30" i="12"/>
  <c r="C30" i="12"/>
  <c r="I29" i="12"/>
  <c r="C29" i="12"/>
  <c r="I28" i="12"/>
  <c r="C28" i="12"/>
  <c r="I27" i="12"/>
  <c r="C27" i="12"/>
  <c r="I26" i="12"/>
  <c r="C26" i="12"/>
  <c r="I25" i="12"/>
  <c r="C25" i="12"/>
  <c r="I24" i="12"/>
  <c r="C24" i="12"/>
  <c r="I23" i="12"/>
  <c r="C23" i="12"/>
  <c r="I22" i="12"/>
  <c r="C22" i="12"/>
  <c r="I21" i="12"/>
  <c r="I20" i="12"/>
  <c r="I19" i="12"/>
  <c r="I15" i="12"/>
  <c r="I12" i="12"/>
  <c r="I11" i="12"/>
  <c r="I10" i="12"/>
  <c r="K4" i="10"/>
  <c r="K5" i="10"/>
  <c r="K8" i="10"/>
  <c r="K11" i="10"/>
  <c r="K12" i="10"/>
  <c r="K13" i="10"/>
  <c r="K9" i="10"/>
  <c r="K10" i="10"/>
  <c r="K6" i="10"/>
  <c r="K7" i="10"/>
  <c r="K14" i="10"/>
  <c r="K15" i="10"/>
  <c r="K16" i="10"/>
  <c r="K23" i="10"/>
  <c r="K24" i="10"/>
  <c r="K26" i="10"/>
  <c r="K20" i="10"/>
  <c r="K19" i="10"/>
  <c r="K22" i="10"/>
  <c r="K21" i="10"/>
  <c r="K17" i="10"/>
  <c r="K18" i="10"/>
  <c r="K25" i="10"/>
  <c r="F4" i="10"/>
  <c r="E4" i="10"/>
  <c r="B21" i="10"/>
  <c r="B15" i="10"/>
  <c r="B20" i="10"/>
  <c r="B25" i="10"/>
  <c r="B18" i="10"/>
  <c r="B17" i="10"/>
  <c r="B26" i="10"/>
  <c r="B24" i="10"/>
  <c r="B23" i="10"/>
  <c r="B22" i="10"/>
  <c r="B19" i="10"/>
  <c r="B16" i="10"/>
  <c r="B14" i="10"/>
  <c r="B7" i="10"/>
  <c r="B6" i="10"/>
  <c r="B13" i="10"/>
  <c r="B12" i="10"/>
  <c r="B11" i="10"/>
  <c r="B10" i="10"/>
  <c r="B9" i="10"/>
  <c r="B8" i="10"/>
  <c r="B5" i="10"/>
  <c r="B4" i="10"/>
  <c r="I2" i="4"/>
  <c r="J2" i="4" s="1"/>
  <c r="I3" i="4"/>
  <c r="J3" i="4" s="1"/>
  <c r="I4" i="4"/>
  <c r="J4" i="4" s="1"/>
  <c r="I5" i="4"/>
  <c r="J5" i="4" s="1"/>
  <c r="I6" i="4"/>
  <c r="J6" i="4" s="1"/>
  <c r="I7" i="4"/>
  <c r="J7" i="4" s="1"/>
  <c r="I8" i="4"/>
  <c r="J8" i="4" s="1"/>
  <c r="I9" i="4"/>
  <c r="J9" i="4" s="1"/>
  <c r="I10" i="4"/>
  <c r="J1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 s="1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 s="1"/>
  <c r="I30" i="4"/>
  <c r="J30" i="4" s="1"/>
  <c r="I31" i="4"/>
  <c r="J31" i="4" s="1"/>
  <c r="I32" i="4"/>
  <c r="J32" i="4" s="1"/>
  <c r="F3" i="12"/>
  <c r="I3" i="12" s="1"/>
  <c r="G2" i="1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G64" i="1"/>
  <c r="G65" i="1"/>
  <c r="G66" i="1"/>
  <c r="G67" i="1"/>
  <c r="G68" i="1"/>
  <c r="G69" i="1"/>
  <c r="G70" i="1"/>
  <c r="G71" i="1"/>
  <c r="G72" i="1"/>
  <c r="G54" i="1"/>
  <c r="G55" i="1"/>
  <c r="G56" i="1"/>
  <c r="G57" i="1"/>
  <c r="G58" i="1"/>
  <c r="G59" i="1"/>
  <c r="G60" i="1"/>
  <c r="G61" i="1"/>
  <c r="G62" i="1"/>
  <c r="G63" i="1"/>
  <c r="G39" i="1"/>
  <c r="G40" i="1"/>
  <c r="G41" i="1"/>
  <c r="G42" i="1"/>
  <c r="G43" i="1"/>
  <c r="G44" i="1"/>
  <c r="G45" i="1"/>
  <c r="I9" i="10" s="1"/>
  <c r="G46" i="1"/>
  <c r="G47" i="1"/>
  <c r="G48" i="1"/>
  <c r="G49" i="1"/>
  <c r="G50" i="1"/>
  <c r="G51" i="1"/>
  <c r="G52" i="1"/>
  <c r="G53" i="1"/>
  <c r="G30" i="1"/>
  <c r="G31" i="1"/>
  <c r="G32" i="1"/>
  <c r="G33" i="1"/>
  <c r="G34" i="1"/>
  <c r="G35" i="1"/>
  <c r="G36" i="1"/>
  <c r="G37" i="1"/>
  <c r="G38" i="1"/>
  <c r="G22" i="1"/>
  <c r="G23" i="1"/>
  <c r="G24" i="1"/>
  <c r="G25" i="1"/>
  <c r="G26" i="1"/>
  <c r="G27" i="1"/>
  <c r="G28" i="1"/>
  <c r="G29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AH5" i="5"/>
  <c r="AH6" i="5"/>
  <c r="AH7" i="5"/>
  <c r="AH8" i="5"/>
  <c r="AH9" i="5"/>
  <c r="AH10" i="5"/>
  <c r="AH11" i="5"/>
  <c r="AH12" i="5"/>
  <c r="AH13" i="5"/>
  <c r="AH14" i="5"/>
  <c r="AH15" i="5"/>
  <c r="AH16" i="5"/>
  <c r="C34" i="7" s="1"/>
  <c r="AH17" i="5"/>
  <c r="C35" i="7" s="1"/>
  <c r="AH18" i="5"/>
  <c r="C36" i="7" s="1"/>
  <c r="AH19" i="5"/>
  <c r="C37" i="7" s="1"/>
  <c r="AH20" i="5"/>
  <c r="C38" i="7" s="1"/>
  <c r="AH21" i="5"/>
  <c r="C39" i="7" s="1"/>
  <c r="AH22" i="5"/>
  <c r="C40" i="7" s="1"/>
  <c r="AH23" i="5"/>
  <c r="C41" i="7" s="1"/>
  <c r="AH24" i="5"/>
  <c r="C42" i="7" s="1"/>
  <c r="AH25" i="5"/>
  <c r="C43" i="7" s="1"/>
  <c r="AH26" i="5"/>
  <c r="C44" i="7" s="1"/>
  <c r="AH27" i="5"/>
  <c r="C45" i="7" s="1"/>
  <c r="AH28" i="5"/>
  <c r="C46" i="7" s="1"/>
  <c r="AH29" i="5"/>
  <c r="C47" i="7" s="1"/>
  <c r="AH30" i="5"/>
  <c r="AH31" i="5"/>
  <c r="C49" i="7" s="1"/>
  <c r="AH32" i="5"/>
  <c r="C50" i="7" s="1"/>
  <c r="AH33" i="5"/>
  <c r="C51" i="7" s="1"/>
  <c r="AH4" i="5"/>
  <c r="C22" i="7" s="1"/>
  <c r="AH3" i="5"/>
  <c r="C21" i="7" s="1"/>
  <c r="C4" i="6"/>
  <c r="C5" i="6"/>
  <c r="C6" i="6"/>
  <c r="C7" i="6"/>
  <c r="C8" i="6"/>
  <c r="C9" i="6"/>
  <c r="C10" i="6"/>
  <c r="C11" i="6"/>
  <c r="C12" i="6"/>
  <c r="L12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" i="5"/>
  <c r="C17" i="9" l="1"/>
  <c r="D17" i="9"/>
  <c r="B6" i="9" s="1"/>
  <c r="B5" i="9"/>
  <c r="E12" i="9"/>
  <c r="I2" i="10"/>
  <c r="I292" i="10"/>
  <c r="I349" i="10"/>
  <c r="I236" i="10"/>
  <c r="I356" i="10"/>
  <c r="J356" i="10" s="1"/>
  <c r="M356" i="10" s="1"/>
  <c r="I220" i="10"/>
  <c r="I205" i="10"/>
  <c r="I366" i="10"/>
  <c r="J366" i="10" s="1"/>
  <c r="M366" i="10" s="1"/>
  <c r="I264" i="10"/>
  <c r="I163" i="10"/>
  <c r="J163" i="10" s="1"/>
  <c r="I237" i="10"/>
  <c r="I57" i="10"/>
  <c r="I13" i="10"/>
  <c r="J13" i="10" s="1"/>
  <c r="M13" i="10" s="1"/>
  <c r="I183" i="10"/>
  <c r="I73" i="10"/>
  <c r="J73" i="10" s="1"/>
  <c r="I92" i="10"/>
  <c r="J92" i="10" s="1"/>
  <c r="I26" i="10"/>
  <c r="J26" i="10" s="1"/>
  <c r="I143" i="10"/>
  <c r="J143" i="10" s="1"/>
  <c r="I221" i="10"/>
  <c r="I307" i="10"/>
  <c r="I367" i="10"/>
  <c r="I108" i="10"/>
  <c r="J108" i="10" s="1"/>
  <c r="I40" i="10"/>
  <c r="I126" i="10"/>
  <c r="J126" i="10" s="1"/>
  <c r="I93" i="10"/>
  <c r="J93" i="10" s="1"/>
  <c r="I58" i="10"/>
  <c r="J58" i="10" s="1"/>
  <c r="I41" i="10"/>
  <c r="I109" i="10"/>
  <c r="J109" i="10" s="1"/>
  <c r="I74" i="10"/>
  <c r="J74" i="10" s="1"/>
  <c r="I75" i="10"/>
  <c r="J75" i="10" s="1"/>
  <c r="I94" i="10"/>
  <c r="J94" i="10" s="1"/>
  <c r="I144" i="10"/>
  <c r="J144" i="10" s="1"/>
  <c r="I207" i="10"/>
  <c r="J207" i="10" s="1"/>
  <c r="I338" i="10"/>
  <c r="I164" i="10"/>
  <c r="J164" i="10" s="1"/>
  <c r="I350" i="10"/>
  <c r="J350" i="10" s="1"/>
  <c r="M350" i="10" s="1"/>
  <c r="I208" i="10"/>
  <c r="I357" i="10"/>
  <c r="I222" i="10"/>
  <c r="J222" i="10" s="1"/>
  <c r="M222" i="10" s="1"/>
  <c r="I238" i="10"/>
  <c r="I351" i="10"/>
  <c r="I159" i="10"/>
  <c r="J159" i="10" s="1"/>
  <c r="I139" i="10"/>
  <c r="J139" i="10" s="1"/>
  <c r="I335" i="10"/>
  <c r="I346" i="10"/>
  <c r="J346" i="10" s="1"/>
  <c r="M346" i="10" s="1"/>
  <c r="I178" i="10"/>
  <c r="J178" i="10" s="1"/>
  <c r="I201" i="10"/>
  <c r="I280" i="10"/>
  <c r="I11" i="10"/>
  <c r="J11" i="10" s="1"/>
  <c r="M11" i="10" s="1"/>
  <c r="I23" i="10"/>
  <c r="J23" i="10" s="1"/>
  <c r="I363" i="10"/>
  <c r="J363" i="10" s="1"/>
  <c r="M363" i="10" s="1"/>
  <c r="I271" i="10"/>
  <c r="I304" i="10"/>
  <c r="J304" i="10" s="1"/>
  <c r="M304" i="10" s="1"/>
  <c r="I281" i="10"/>
  <c r="I272" i="10"/>
  <c r="I12" i="10"/>
  <c r="J12" i="10" s="1"/>
  <c r="M12" i="10" s="1"/>
  <c r="I24" i="10"/>
  <c r="J24" i="10" s="1"/>
  <c r="I364" i="10"/>
  <c r="J364" i="10" s="1"/>
  <c r="M364" i="10" s="1"/>
  <c r="I305" i="10"/>
  <c r="I347" i="10"/>
  <c r="I336" i="10"/>
  <c r="I160" i="10"/>
  <c r="I202" i="10"/>
  <c r="J202" i="10" s="1"/>
  <c r="I140" i="10"/>
  <c r="J140" i="10" s="1"/>
  <c r="I254" i="10"/>
  <c r="I290" i="10"/>
  <c r="I262" i="10"/>
  <c r="I245" i="10"/>
  <c r="I328" i="10"/>
  <c r="I106" i="10"/>
  <c r="J106" i="10" s="1"/>
  <c r="I203" i="10"/>
  <c r="J203" i="10" s="1"/>
  <c r="I141" i="10"/>
  <c r="J141" i="10" s="1"/>
  <c r="I337" i="10"/>
  <c r="I348" i="10"/>
  <c r="J348" i="10" s="1"/>
  <c r="M348" i="10" s="1"/>
  <c r="I161" i="10"/>
  <c r="J161" i="10" s="1"/>
  <c r="I204" i="10"/>
  <c r="J204" i="10" s="1"/>
  <c r="I255" i="10"/>
  <c r="I291" i="10"/>
  <c r="J291" i="10" s="1"/>
  <c r="M291" i="10" s="1"/>
  <c r="I365" i="10"/>
  <c r="J365" i="10" s="1"/>
  <c r="M365" i="10" s="1"/>
  <c r="I181" i="10"/>
  <c r="J181" i="10" s="1"/>
  <c r="I235" i="10"/>
  <c r="I107" i="10"/>
  <c r="J107" i="10" s="1"/>
  <c r="I56" i="10"/>
  <c r="J56" i="10" s="1"/>
  <c r="I72" i="10"/>
  <c r="J72" i="10" s="1"/>
  <c r="I142" i="10"/>
  <c r="J142" i="10" s="1"/>
  <c r="I306" i="10"/>
  <c r="J306" i="10" s="1"/>
  <c r="M306" i="10" s="1"/>
  <c r="I39" i="10"/>
  <c r="I246" i="10"/>
  <c r="J246" i="10" s="1"/>
  <c r="M246" i="10" s="1"/>
  <c r="I25" i="10"/>
  <c r="J25" i="10" s="1"/>
  <c r="I263" i="10"/>
  <c r="I162" i="10"/>
  <c r="J162" i="10" s="1"/>
  <c r="I219" i="10"/>
  <c r="I91" i="10"/>
  <c r="J91" i="10" s="1"/>
  <c r="I251" i="10"/>
  <c r="I37" i="10"/>
  <c r="I327" i="10"/>
  <c r="I314" i="10"/>
  <c r="I302" i="10"/>
  <c r="J302" i="10" s="1"/>
  <c r="M302" i="10" s="1"/>
  <c r="I88" i="10"/>
  <c r="J88" i="10" s="1"/>
  <c r="I217" i="10"/>
  <c r="I155" i="10"/>
  <c r="J155" i="10" s="1"/>
  <c r="I20" i="10"/>
  <c r="J20" i="10" s="1"/>
  <c r="I232" i="10"/>
  <c r="I53" i="10"/>
  <c r="J53" i="10" s="1"/>
  <c r="I104" i="10"/>
  <c r="J104" i="10" s="1"/>
  <c r="I8" i="10"/>
  <c r="J8" i="10" s="1"/>
  <c r="M8" i="10" s="1"/>
  <c r="I175" i="10"/>
  <c r="J175" i="10" s="1"/>
  <c r="I361" i="10"/>
  <c r="J361" i="10" s="1"/>
  <c r="M361" i="10" s="1"/>
  <c r="I136" i="10"/>
  <c r="J136" i="10" s="1"/>
  <c r="I321" i="10"/>
  <c r="I269" i="10"/>
  <c r="I70" i="10"/>
  <c r="J70" i="10" s="1"/>
  <c r="I137" i="10"/>
  <c r="J137" i="10" s="1"/>
  <c r="I334" i="10"/>
  <c r="J334" i="10" s="1"/>
  <c r="M334" i="10" s="1"/>
  <c r="I345" i="10"/>
  <c r="J345" i="10" s="1"/>
  <c r="M345" i="10" s="1"/>
  <c r="I156" i="10"/>
  <c r="J156" i="10" s="1"/>
  <c r="I176" i="10"/>
  <c r="J176" i="10" s="1"/>
  <c r="I121" i="10"/>
  <c r="J121" i="10" s="1"/>
  <c r="I21" i="10"/>
  <c r="J21" i="10" s="1"/>
  <c r="I89" i="10"/>
  <c r="J89" i="10" s="1"/>
  <c r="I157" i="10"/>
  <c r="I296" i="10"/>
  <c r="I233" i="10"/>
  <c r="I199" i="10"/>
  <c r="J199" i="10" s="1"/>
  <c r="I54" i="10"/>
  <c r="J54" i="10" s="1"/>
  <c r="I288" i="10"/>
  <c r="J288" i="10" s="1"/>
  <c r="M288" i="10" s="1"/>
  <c r="I260" i="10"/>
  <c r="I243" i="10"/>
  <c r="I252" i="10"/>
  <c r="I297" i="10"/>
  <c r="I303" i="10"/>
  <c r="I218" i="10"/>
  <c r="J218" i="10" s="1"/>
  <c r="M218" i="10" s="1"/>
  <c r="I10" i="10"/>
  <c r="J10" i="10" s="1"/>
  <c r="M10" i="10" s="1"/>
  <c r="I105" i="10"/>
  <c r="I38" i="10"/>
  <c r="I270" i="10"/>
  <c r="I261" i="10"/>
  <c r="I362" i="10"/>
  <c r="J362" i="10" s="1"/>
  <c r="M362" i="10" s="1"/>
  <c r="I138" i="10"/>
  <c r="J138" i="10" s="1"/>
  <c r="I177" i="10"/>
  <c r="I71" i="10"/>
  <c r="J71" i="10" s="1"/>
  <c r="I253" i="10"/>
  <c r="I244" i="10"/>
  <c r="I55" i="10"/>
  <c r="J55" i="10" s="1"/>
  <c r="I234" i="10"/>
  <c r="I22" i="10"/>
  <c r="J22" i="10" s="1"/>
  <c r="I3" i="10"/>
  <c r="J3" i="10" s="1"/>
  <c r="M3" i="10" s="1"/>
  <c r="I90" i="10"/>
  <c r="J90" i="10" s="1"/>
  <c r="I158" i="10"/>
  <c r="J158" i="10" s="1"/>
  <c r="I194" i="10"/>
  <c r="J194" i="10" s="1"/>
  <c r="I34" i="10"/>
  <c r="I50" i="10"/>
  <c r="J50" i="10" s="1"/>
  <c r="I67" i="10"/>
  <c r="J67" i="10" s="1"/>
  <c r="I250" i="10"/>
  <c r="I152" i="10"/>
  <c r="J152" i="10" s="1"/>
  <c r="I259" i="10"/>
  <c r="I214" i="10"/>
  <c r="I229" i="10"/>
  <c r="I286" i="10"/>
  <c r="I133" i="10"/>
  <c r="J133" i="10" s="1"/>
  <c r="I101" i="10"/>
  <c r="J101" i="10" s="1"/>
  <c r="I172" i="10"/>
  <c r="I241" i="10"/>
  <c r="J241" i="10" s="1"/>
  <c r="M241" i="10" s="1"/>
  <c r="I17" i="10"/>
  <c r="J17" i="10" s="1"/>
  <c r="I6" i="10"/>
  <c r="J6" i="10" s="1"/>
  <c r="M6" i="10" s="1"/>
  <c r="I294" i="10"/>
  <c r="I85" i="10"/>
  <c r="J85" i="10" s="1"/>
  <c r="I299" i="10"/>
  <c r="J299" i="10" s="1"/>
  <c r="I358" i="10"/>
  <c r="J358" i="10" s="1"/>
  <c r="M358" i="10" s="1"/>
  <c r="I295" i="10"/>
  <c r="J295" i="10" s="1"/>
  <c r="M295" i="10" s="1"/>
  <c r="I86" i="10"/>
  <c r="J86" i="10" s="1"/>
  <c r="I18" i="10"/>
  <c r="J18" i="10" s="1"/>
  <c r="I326" i="10"/>
  <c r="J326" i="10" s="1"/>
  <c r="M326" i="10" s="1"/>
  <c r="I344" i="10"/>
  <c r="I355" i="10"/>
  <c r="J355" i="10" s="1"/>
  <c r="M355" i="10" s="1"/>
  <c r="I173" i="10"/>
  <c r="J173" i="10" s="1"/>
  <c r="I215" i="10"/>
  <c r="I68" i="10"/>
  <c r="J68" i="10" s="1"/>
  <c r="I230" i="10"/>
  <c r="I359" i="10"/>
  <c r="J359" i="10" s="1"/>
  <c r="M359" i="10" s="1"/>
  <c r="I7" i="10"/>
  <c r="J7" i="10" s="1"/>
  <c r="M7" i="10" s="1"/>
  <c r="I51" i="10"/>
  <c r="J51" i="10" s="1"/>
  <c r="I134" i="10"/>
  <c r="J134" i="10" s="1"/>
  <c r="I333" i="10"/>
  <c r="J333" i="10" s="1"/>
  <c r="M333" i="10" s="1"/>
  <c r="I313" i="10"/>
  <c r="I102" i="10"/>
  <c r="J102" i="10" s="1"/>
  <c r="I35" i="10"/>
  <c r="I300" i="10"/>
  <c r="J300" i="10" s="1"/>
  <c r="M300" i="10" s="1"/>
  <c r="I320" i="10"/>
  <c r="J320" i="10" s="1"/>
  <c r="M320" i="10" s="1"/>
  <c r="I195" i="10"/>
  <c r="J195" i="10" s="1"/>
  <c r="I153" i="10"/>
  <c r="J153" i="10" s="1"/>
  <c r="I52" i="10"/>
  <c r="J52" i="10" s="1"/>
  <c r="I87" i="10"/>
  <c r="J87" i="10" s="1"/>
  <c r="I154" i="10"/>
  <c r="J154" i="10" s="1"/>
  <c r="I19" i="10"/>
  <c r="J19" i="10" s="1"/>
  <c r="I231" i="10"/>
  <c r="I103" i="10"/>
  <c r="I36" i="10"/>
  <c r="I360" i="10"/>
  <c r="J360" i="10" s="1"/>
  <c r="I174" i="10"/>
  <c r="J174" i="10" s="1"/>
  <c r="I135" i="10"/>
  <c r="J135" i="10" s="1"/>
  <c r="I301" i="10"/>
  <c r="J301" i="10" s="1"/>
  <c r="M301" i="10" s="1"/>
  <c r="I69" i="10"/>
  <c r="J69" i="10" s="1"/>
  <c r="I216" i="10"/>
  <c r="J216" i="10" s="1"/>
  <c r="M216" i="10" s="1"/>
  <c r="I277" i="10"/>
  <c r="I268" i="10"/>
  <c r="I242" i="10"/>
  <c r="I265" i="10"/>
  <c r="I151" i="10"/>
  <c r="J151" i="10" s="1"/>
  <c r="I132" i="10"/>
  <c r="J132" i="10" s="1"/>
  <c r="I170" i="10"/>
  <c r="I342" i="10"/>
  <c r="J342" i="10" s="1"/>
  <c r="M342" i="10" s="1"/>
  <c r="I332" i="10"/>
  <c r="J332" i="10" s="1"/>
  <c r="M332" i="10" s="1"/>
  <c r="I249" i="10"/>
  <c r="I258" i="10"/>
  <c r="I171" i="10"/>
  <c r="I193" i="10"/>
  <c r="J193" i="10" s="1"/>
  <c r="I213" i="10"/>
  <c r="J213" i="10" s="1"/>
  <c r="M213" i="10" s="1"/>
  <c r="I228" i="10"/>
  <c r="I343" i="10"/>
  <c r="J343" i="10" s="1"/>
  <c r="M343" i="10" s="1"/>
  <c r="I368" i="10"/>
  <c r="J368" i="10" s="1"/>
  <c r="I354" i="10"/>
  <c r="J354" i="10" s="1"/>
  <c r="M354" i="10" s="1"/>
  <c r="I186" i="10"/>
  <c r="I209" i="10"/>
  <c r="J209" i="10" s="1"/>
  <c r="M209" i="10" s="1"/>
  <c r="I110" i="10"/>
  <c r="J110" i="10" s="1"/>
  <c r="I27" i="10"/>
  <c r="J27" i="10" s="1"/>
  <c r="I59" i="10"/>
  <c r="J59" i="10" s="1"/>
  <c r="I95" i="10"/>
  <c r="J95" i="10" s="1"/>
  <c r="I165" i="10"/>
  <c r="J165" i="10" s="1"/>
  <c r="I145" i="10"/>
  <c r="J145" i="10" s="1"/>
  <c r="I223" i="10"/>
  <c r="I14" i="10"/>
  <c r="J14" i="10" s="1"/>
  <c r="I42" i="10"/>
  <c r="J42" i="10" s="1"/>
  <c r="I76" i="10"/>
  <c r="J76" i="10" s="1"/>
  <c r="I127" i="10"/>
  <c r="J127" i="10" s="1"/>
  <c r="I298" i="10"/>
  <c r="I111" i="10"/>
  <c r="J111" i="10" s="1"/>
  <c r="I43" i="10"/>
  <c r="J43" i="10" s="1"/>
  <c r="I96" i="10"/>
  <c r="J96" i="10" s="1"/>
  <c r="I322" i="10"/>
  <c r="J322" i="10" s="1"/>
  <c r="M322" i="10" s="1"/>
  <c r="I77" i="10"/>
  <c r="J77" i="10" s="1"/>
  <c r="I28" i="10"/>
  <c r="I308" i="10"/>
  <c r="J308" i="10" s="1"/>
  <c r="I315" i="10"/>
  <c r="J315" i="10" s="1"/>
  <c r="I60" i="10"/>
  <c r="J60" i="10" s="1"/>
  <c r="I187" i="10"/>
  <c r="I29" i="10"/>
  <c r="I166" i="10"/>
  <c r="J166" i="10" s="1"/>
  <c r="I329" i="10"/>
  <c r="J329" i="10" s="1"/>
  <c r="M329" i="10" s="1"/>
  <c r="I44" i="10"/>
  <c r="J44" i="10" s="1"/>
  <c r="I61" i="10"/>
  <c r="J61" i="10" s="1"/>
  <c r="I128" i="10"/>
  <c r="J128" i="10" s="1"/>
  <c r="I339" i="10"/>
  <c r="J339" i="10" s="1"/>
  <c r="M339" i="10" s="1"/>
  <c r="I78" i="10"/>
  <c r="J78" i="10" s="1"/>
  <c r="I316" i="10"/>
  <c r="J316" i="10" s="1"/>
  <c r="M316" i="10" s="1"/>
  <c r="I146" i="10"/>
  <c r="I309" i="10"/>
  <c r="J309" i="10" s="1"/>
  <c r="M309" i="10" s="1"/>
  <c r="I112" i="10"/>
  <c r="J112" i="10" s="1"/>
  <c r="I147" i="10"/>
  <c r="J147" i="10" s="1"/>
  <c r="I45" i="10"/>
  <c r="J45" i="10" s="1"/>
  <c r="I293" i="10"/>
  <c r="I79" i="10"/>
  <c r="J79" i="10" s="1"/>
  <c r="I224" i="10"/>
  <c r="I188" i="10"/>
  <c r="J188" i="10" s="1"/>
  <c r="I15" i="10"/>
  <c r="J15" i="10" s="1"/>
  <c r="I189" i="10"/>
  <c r="I129" i="10"/>
  <c r="J129" i="10" s="1"/>
  <c r="I62" i="10"/>
  <c r="J62" i="10" s="1"/>
  <c r="I46" i="10"/>
  <c r="I30" i="10"/>
  <c r="I113" i="10"/>
  <c r="J113" i="10" s="1"/>
  <c r="I148" i="10"/>
  <c r="J148" i="10" s="1"/>
  <c r="I167" i="10"/>
  <c r="J167" i="10" s="1"/>
  <c r="I225" i="10"/>
  <c r="I97" i="10"/>
  <c r="J97" i="10" s="1"/>
  <c r="I80" i="10"/>
  <c r="J80" i="10" s="1"/>
  <c r="I16" i="10"/>
  <c r="J16" i="10" s="1"/>
  <c r="I210" i="10"/>
  <c r="I5" i="10"/>
  <c r="J5" i="10" s="1"/>
  <c r="M5" i="10" s="1"/>
  <c r="I63" i="10"/>
  <c r="J63" i="10" s="1"/>
  <c r="I317" i="10"/>
  <c r="J317" i="10" s="1"/>
  <c r="M317" i="10" s="1"/>
  <c r="I81" i="10"/>
  <c r="J81" i="10" s="1"/>
  <c r="I130" i="10"/>
  <c r="J130" i="10" s="1"/>
  <c r="I226" i="10"/>
  <c r="I340" i="10"/>
  <c r="J340" i="10" s="1"/>
  <c r="I211" i="10"/>
  <c r="J211" i="10" s="1"/>
  <c r="M211" i="10" s="1"/>
  <c r="I168" i="10"/>
  <c r="J168" i="10" s="1"/>
  <c r="I352" i="10"/>
  <c r="J352" i="10" s="1"/>
  <c r="I149" i="10"/>
  <c r="J149" i="10" s="1"/>
  <c r="I330" i="10"/>
  <c r="J330" i="10" s="1"/>
  <c r="I64" i="10"/>
  <c r="J64" i="10" s="1"/>
  <c r="I318" i="10"/>
  <c r="J318" i="10" s="1"/>
  <c r="M318" i="10" s="1"/>
  <c r="I82" i="10"/>
  <c r="J82" i="10" s="1"/>
  <c r="I31" i="10"/>
  <c r="I47" i="10"/>
  <c r="J47" i="10" s="1"/>
  <c r="I310" i="10"/>
  <c r="J310" i="10" s="1"/>
  <c r="M310" i="10" s="1"/>
  <c r="I114" i="10"/>
  <c r="J114" i="10" s="1"/>
  <c r="I32" i="10"/>
  <c r="I48" i="10"/>
  <c r="J48" i="10" s="1"/>
  <c r="I311" i="10"/>
  <c r="J311" i="10" s="1"/>
  <c r="M311" i="10" s="1"/>
  <c r="I323" i="10"/>
  <c r="J323" i="10" s="1"/>
  <c r="M323" i="10" s="1"/>
  <c r="I98" i="10"/>
  <c r="J98" i="10" s="1"/>
  <c r="I284" i="10"/>
  <c r="I256" i="10"/>
  <c r="I247" i="10"/>
  <c r="I239" i="10"/>
  <c r="I319" i="10"/>
  <c r="J319" i="10" s="1"/>
  <c r="M319" i="10" s="1"/>
  <c r="I33" i="10"/>
  <c r="I49" i="10"/>
  <c r="J49" i="10" s="1"/>
  <c r="I83" i="10"/>
  <c r="J83" i="10" s="1"/>
  <c r="I65" i="10"/>
  <c r="J65" i="10" s="1"/>
  <c r="I312" i="10"/>
  <c r="J312" i="10" s="1"/>
  <c r="M312" i="10" s="1"/>
  <c r="I353" i="10"/>
  <c r="J353" i="10" s="1"/>
  <c r="M353" i="10" s="1"/>
  <c r="I131" i="10"/>
  <c r="J131" i="10" s="1"/>
  <c r="I150" i="10"/>
  <c r="J150" i="10" s="1"/>
  <c r="I227" i="10"/>
  <c r="I324" i="10"/>
  <c r="J324" i="10" s="1"/>
  <c r="I169" i="10"/>
  <c r="J169" i="10" s="1"/>
  <c r="I212" i="10"/>
  <c r="I341" i="10"/>
  <c r="J341" i="10" s="1"/>
  <c r="M341" i="10" s="1"/>
  <c r="I331" i="10"/>
  <c r="J331" i="10" s="1"/>
  <c r="M331" i="10" s="1"/>
  <c r="I99" i="10"/>
  <c r="J99" i="10" s="1"/>
  <c r="I100" i="10"/>
  <c r="J100" i="10" s="1"/>
  <c r="I66" i="10"/>
  <c r="J66" i="10" s="1"/>
  <c r="I325" i="10"/>
  <c r="J325" i="10" s="1"/>
  <c r="M325" i="10" s="1"/>
  <c r="I84" i="10"/>
  <c r="J84" i="10" s="1"/>
  <c r="I285" i="10"/>
  <c r="I248" i="10"/>
  <c r="I240" i="10"/>
  <c r="I257" i="10"/>
  <c r="J257" i="10" s="1"/>
  <c r="M257" i="10" s="1"/>
  <c r="C23" i="7"/>
  <c r="L25" i="10"/>
  <c r="L18" i="10"/>
  <c r="L17" i="10"/>
  <c r="L21" i="10"/>
  <c r="L22" i="10"/>
  <c r="L19" i="10"/>
  <c r="L20" i="10"/>
  <c r="L26" i="10"/>
  <c r="L24" i="10"/>
  <c r="L23" i="10"/>
  <c r="L16" i="10"/>
  <c r="L15" i="10"/>
  <c r="L14" i="10"/>
  <c r="C24" i="7"/>
  <c r="L40" i="10"/>
  <c r="L29" i="10"/>
  <c r="L31" i="10"/>
  <c r="L32" i="10"/>
  <c r="L28" i="10"/>
  <c r="L34" i="10"/>
  <c r="L38" i="10"/>
  <c r="L33" i="10"/>
  <c r="L41" i="10"/>
  <c r="L35" i="10"/>
  <c r="L27" i="10"/>
  <c r="L30" i="10"/>
  <c r="L39" i="10"/>
  <c r="L36" i="10"/>
  <c r="L37" i="10"/>
  <c r="C25" i="7"/>
  <c r="L54" i="10"/>
  <c r="L44" i="10"/>
  <c r="L43" i="10"/>
  <c r="L55" i="10"/>
  <c r="L45" i="10"/>
  <c r="L57" i="10"/>
  <c r="L46" i="10"/>
  <c r="L56" i="10"/>
  <c r="L51" i="10"/>
  <c r="L52" i="10"/>
  <c r="L42" i="10"/>
  <c r="L53" i="10"/>
  <c r="L50" i="10"/>
  <c r="L58" i="10"/>
  <c r="L48" i="10"/>
  <c r="L47" i="10"/>
  <c r="L49" i="10"/>
  <c r="C26" i="7"/>
  <c r="L61" i="10"/>
  <c r="L74" i="10"/>
  <c r="L73" i="10"/>
  <c r="L70" i="10"/>
  <c r="L63" i="10"/>
  <c r="L60" i="10"/>
  <c r="L59" i="10"/>
  <c r="L69" i="10"/>
  <c r="L75" i="10"/>
  <c r="L62" i="10"/>
  <c r="L65" i="10"/>
  <c r="L71" i="10"/>
  <c r="L72" i="10"/>
  <c r="L64" i="10"/>
  <c r="L66" i="10"/>
  <c r="L68" i="10"/>
  <c r="L67" i="10"/>
  <c r="C27" i="7"/>
  <c r="L88" i="10"/>
  <c r="L76" i="10"/>
  <c r="L80" i="10"/>
  <c r="L92" i="10"/>
  <c r="L84" i="10"/>
  <c r="L85" i="10"/>
  <c r="L90" i="10"/>
  <c r="L79" i="10"/>
  <c r="L93" i="10"/>
  <c r="L83" i="10"/>
  <c r="L86" i="10"/>
  <c r="L89" i="10"/>
  <c r="L82" i="10"/>
  <c r="L81" i="10"/>
  <c r="L78" i="10"/>
  <c r="L77" i="10"/>
  <c r="L91" i="10"/>
  <c r="L94" i="10"/>
  <c r="L87" i="10"/>
  <c r="C28" i="7"/>
  <c r="L97" i="10"/>
  <c r="L99" i="10"/>
  <c r="L98" i="10"/>
  <c r="L101" i="10"/>
  <c r="L100" i="10"/>
  <c r="L102" i="10"/>
  <c r="L106" i="10"/>
  <c r="L96" i="10"/>
  <c r="L107" i="10"/>
  <c r="L105" i="10"/>
  <c r="L109" i="10"/>
  <c r="L103" i="10"/>
  <c r="L104" i="10"/>
  <c r="L108" i="10"/>
  <c r="L95" i="10"/>
  <c r="C29" i="7"/>
  <c r="L113" i="10"/>
  <c r="L125" i="10"/>
  <c r="L120" i="10"/>
  <c r="L119" i="10"/>
  <c r="L122" i="10"/>
  <c r="L111" i="10"/>
  <c r="L116" i="10"/>
  <c r="L114" i="10"/>
  <c r="L115" i="10"/>
  <c r="L126" i="10"/>
  <c r="L117" i="10"/>
  <c r="L118" i="10"/>
  <c r="L124" i="10"/>
  <c r="L112" i="10"/>
  <c r="L121" i="10"/>
  <c r="L123" i="10"/>
  <c r="L110" i="10"/>
  <c r="C30" i="7"/>
  <c r="L131" i="10"/>
  <c r="L129" i="10"/>
  <c r="L144" i="10"/>
  <c r="L141" i="10"/>
  <c r="L140" i="10"/>
  <c r="L142" i="10"/>
  <c r="L134" i="10"/>
  <c r="L133" i="10"/>
  <c r="L139" i="10"/>
  <c r="L127" i="10"/>
  <c r="L137" i="10"/>
  <c r="L132" i="10"/>
  <c r="L128" i="10"/>
  <c r="L130" i="10"/>
  <c r="L138" i="10"/>
  <c r="L135" i="10"/>
  <c r="L136" i="10"/>
  <c r="L143" i="10"/>
  <c r="C31" i="7"/>
  <c r="L149" i="10"/>
  <c r="L145" i="10"/>
  <c r="L148" i="10"/>
  <c r="L154" i="10"/>
  <c r="L155" i="10"/>
  <c r="L163" i="10"/>
  <c r="L152" i="10"/>
  <c r="L158" i="10"/>
  <c r="L157" i="10"/>
  <c r="L147" i="10"/>
  <c r="L164" i="10"/>
  <c r="L161" i="10"/>
  <c r="L160" i="10"/>
  <c r="L162" i="10"/>
  <c r="L153" i="10"/>
  <c r="L159" i="10"/>
  <c r="L150" i="10"/>
  <c r="L156" i="10"/>
  <c r="L151" i="10"/>
  <c r="L146" i="10"/>
  <c r="C32" i="7"/>
  <c r="L181" i="10"/>
  <c r="L177" i="10"/>
  <c r="L166" i="10"/>
  <c r="L168" i="10"/>
  <c r="L183" i="10"/>
  <c r="L174" i="10"/>
  <c r="L175" i="10"/>
  <c r="L167" i="10"/>
  <c r="L165" i="10"/>
  <c r="L185" i="10"/>
  <c r="L182" i="10"/>
  <c r="L171" i="10"/>
  <c r="L184" i="10"/>
  <c r="L180" i="10"/>
  <c r="L178" i="10"/>
  <c r="L179" i="10"/>
  <c r="L173" i="10"/>
  <c r="L172" i="10"/>
  <c r="L169" i="10"/>
  <c r="L176" i="10"/>
  <c r="L170" i="10"/>
  <c r="C33" i="7"/>
  <c r="L196" i="10"/>
  <c r="L188" i="10"/>
  <c r="L206" i="10"/>
  <c r="L208" i="10"/>
  <c r="L205" i="10"/>
  <c r="L189" i="10"/>
  <c r="L186" i="10"/>
  <c r="L207" i="10"/>
  <c r="L203" i="10"/>
  <c r="L202" i="10"/>
  <c r="L204" i="10"/>
  <c r="L193" i="10"/>
  <c r="L194" i="10"/>
  <c r="L201" i="10"/>
  <c r="L197" i="10"/>
  <c r="L191" i="10"/>
  <c r="L198" i="10"/>
  <c r="L200" i="10"/>
  <c r="L192" i="10"/>
  <c r="L199" i="10"/>
  <c r="L187" i="10"/>
  <c r="L190" i="10"/>
  <c r="L195" i="10"/>
  <c r="I182" i="10"/>
  <c r="I283" i="10"/>
  <c r="J283" i="10" s="1"/>
  <c r="M283" i="10" s="1"/>
  <c r="I206" i="10"/>
  <c r="I125" i="10"/>
  <c r="J125" i="10" s="1"/>
  <c r="I184" i="10"/>
  <c r="J184" i="10" s="1"/>
  <c r="I185" i="10"/>
  <c r="J185" i="10" s="1"/>
  <c r="I179" i="10"/>
  <c r="J179" i="10" s="1"/>
  <c r="I123" i="10"/>
  <c r="J123" i="10" s="1"/>
  <c r="I180" i="10"/>
  <c r="J180" i="10" s="1"/>
  <c r="I282" i="10"/>
  <c r="I124" i="10"/>
  <c r="J124" i="10" s="1"/>
  <c r="I273" i="10"/>
  <c r="I278" i="10"/>
  <c r="I120" i="10"/>
  <c r="J120" i="10" s="1"/>
  <c r="I197" i="10"/>
  <c r="I198" i="10"/>
  <c r="J198" i="10" s="1"/>
  <c r="I287" i="10"/>
  <c r="J287" i="10" s="1"/>
  <c r="I279" i="10"/>
  <c r="J279" i="10" s="1"/>
  <c r="M279" i="10" s="1"/>
  <c r="I289" i="10"/>
  <c r="J289" i="10" s="1"/>
  <c r="M289" i="10" s="1"/>
  <c r="I200" i="10"/>
  <c r="J200" i="10" s="1"/>
  <c r="I122" i="10"/>
  <c r="J122" i="10" s="1"/>
  <c r="I266" i="10"/>
  <c r="J266" i="10" s="1"/>
  <c r="M266" i="10" s="1"/>
  <c r="I117" i="10"/>
  <c r="J117" i="10" s="1"/>
  <c r="I275" i="10"/>
  <c r="I267" i="10"/>
  <c r="J267" i="10" s="1"/>
  <c r="M267" i="10" s="1"/>
  <c r="I118" i="10"/>
  <c r="J118" i="10" s="1"/>
  <c r="I276" i="10"/>
  <c r="I196" i="10"/>
  <c r="J196" i="10" s="1"/>
  <c r="I119" i="10"/>
  <c r="J119" i="10" s="1"/>
  <c r="I192" i="10"/>
  <c r="J192" i="10" s="1"/>
  <c r="I274" i="10"/>
  <c r="J274" i="10" s="1"/>
  <c r="I190" i="10"/>
  <c r="J190" i="10" s="1"/>
  <c r="I191" i="10"/>
  <c r="J191" i="10" s="1"/>
  <c r="I115" i="10"/>
  <c r="J115" i="10" s="1"/>
  <c r="I116" i="10"/>
  <c r="J116" i="10" s="1"/>
  <c r="J367" i="10"/>
  <c r="M367" i="10" s="1"/>
  <c r="J357" i="10"/>
  <c r="M357" i="10" s="1"/>
  <c r="J351" i="10"/>
  <c r="M351" i="10" s="1"/>
  <c r="J349" i="10"/>
  <c r="M349" i="10" s="1"/>
  <c r="J264" i="10"/>
  <c r="M264" i="10" s="1"/>
  <c r="J347" i="10"/>
  <c r="M347" i="10" s="1"/>
  <c r="J344" i="10"/>
  <c r="M344" i="10" s="1"/>
  <c r="J338" i="10"/>
  <c r="M338" i="10" s="1"/>
  <c r="J336" i="10"/>
  <c r="M336" i="10" s="1"/>
  <c r="J335" i="10"/>
  <c r="M335" i="10" s="1"/>
  <c r="J337" i="10"/>
  <c r="M337" i="10" s="1"/>
  <c r="J281" i="10"/>
  <c r="M281" i="10" s="1"/>
  <c r="J328" i="10"/>
  <c r="M328" i="10" s="1"/>
  <c r="J327" i="10"/>
  <c r="M327" i="10" s="1"/>
  <c r="J313" i="10"/>
  <c r="M313" i="10" s="1"/>
  <c r="J271" i="10"/>
  <c r="M271" i="10" s="1"/>
  <c r="J321" i="10"/>
  <c r="M321" i="10" s="1"/>
  <c r="J314" i="10"/>
  <c r="M314" i="10" s="1"/>
  <c r="J238" i="10"/>
  <c r="M238" i="10" s="1"/>
  <c r="J296" i="10"/>
  <c r="M296" i="10" s="1"/>
  <c r="J250" i="10"/>
  <c r="M250" i="10" s="1"/>
  <c r="J254" i="10"/>
  <c r="M254" i="10" s="1"/>
  <c r="J228" i="10"/>
  <c r="M228" i="10" s="1"/>
  <c r="J307" i="10"/>
  <c r="M307" i="10" s="1"/>
  <c r="J305" i="10"/>
  <c r="M305" i="10" s="1"/>
  <c r="J292" i="10"/>
  <c r="M292" i="10" s="1"/>
  <c r="J303" i="10"/>
  <c r="M303" i="10" s="1"/>
  <c r="J245" i="10"/>
  <c r="M245" i="10" s="1"/>
  <c r="J232" i="10"/>
  <c r="M232" i="10" s="1"/>
  <c r="J298" i="10"/>
  <c r="M298" i="10" s="1"/>
  <c r="J294" i="10"/>
  <c r="M294" i="10" s="1"/>
  <c r="J297" i="10"/>
  <c r="M297" i="10" s="1"/>
  <c r="J293" i="10"/>
  <c r="M293" i="10" s="1"/>
  <c r="D23" i="4"/>
  <c r="J282" i="10"/>
  <c r="M282" i="10" s="1"/>
  <c r="J240" i="10"/>
  <c r="M240" i="10" s="1"/>
  <c r="J244" i="10"/>
  <c r="M244" i="10" s="1"/>
  <c r="J286" i="10"/>
  <c r="M286" i="10" s="1"/>
  <c r="J285" i="10"/>
  <c r="M285" i="10" s="1"/>
  <c r="J290" i="10"/>
  <c r="M290" i="10" s="1"/>
  <c r="J221" i="10"/>
  <c r="M221" i="10" s="1"/>
  <c r="J276" i="10"/>
  <c r="M276" i="10" s="1"/>
  <c r="J284" i="10"/>
  <c r="M284" i="10" s="1"/>
  <c r="J275" i="10"/>
  <c r="M275" i="10" s="1"/>
  <c r="J263" i="10"/>
  <c r="M263" i="10" s="1"/>
  <c r="J278" i="10"/>
  <c r="M278" i="10" s="1"/>
  <c r="J248" i="10"/>
  <c r="M248" i="10" s="1"/>
  <c r="J280" i="10"/>
  <c r="M280" i="10" s="1"/>
  <c r="J277" i="10"/>
  <c r="M277" i="10" s="1"/>
  <c r="J234" i="10"/>
  <c r="M234" i="10" s="1"/>
  <c r="J105" i="10"/>
  <c r="M105" i="10" s="1"/>
  <c r="J103" i="10"/>
  <c r="M103" i="10" s="1"/>
  <c r="J273" i="10"/>
  <c r="M273" i="10" s="1"/>
  <c r="J259" i="10"/>
  <c r="M259" i="10" s="1"/>
  <c r="J261" i="10"/>
  <c r="M261" i="10" s="1"/>
  <c r="J262" i="10"/>
  <c r="M262" i="10" s="1"/>
  <c r="J270" i="10"/>
  <c r="M270" i="10" s="1"/>
  <c r="J201" i="10"/>
  <c r="M201" i="10" s="1"/>
  <c r="J272" i="10"/>
  <c r="M272" i="10" s="1"/>
  <c r="J268" i="10"/>
  <c r="J269" i="10"/>
  <c r="M269" i="10" s="1"/>
  <c r="J265" i="10"/>
  <c r="M265" i="10" s="1"/>
  <c r="J260" i="10"/>
  <c r="M260" i="10" s="1"/>
  <c r="J258" i="10"/>
  <c r="M258" i="10" s="1"/>
  <c r="J235" i="10"/>
  <c r="M235" i="10" s="1"/>
  <c r="J229" i="10"/>
  <c r="M229" i="10" s="1"/>
  <c r="J217" i="10"/>
  <c r="M217" i="10" s="1"/>
  <c r="J206" i="10"/>
  <c r="M206" i="10" s="1"/>
  <c r="J242" i="10"/>
  <c r="M242" i="10" s="1"/>
  <c r="J256" i="10"/>
  <c r="M256" i="10" s="1"/>
  <c r="J255" i="10"/>
  <c r="M255" i="10" s="1"/>
  <c r="J233" i="10"/>
  <c r="M233" i="10" s="1"/>
  <c r="J215" i="10"/>
  <c r="M215" i="10" s="1"/>
  <c r="J253" i="10"/>
  <c r="M253" i="10" s="1"/>
  <c r="J182" i="10"/>
  <c r="M182" i="10" s="1"/>
  <c r="J251" i="10"/>
  <c r="M251" i="10" s="1"/>
  <c r="J249" i="10"/>
  <c r="M249" i="10" s="1"/>
  <c r="J252" i="10"/>
  <c r="M252" i="10" s="1"/>
  <c r="J247" i="10"/>
  <c r="M247" i="10" s="1"/>
  <c r="J197" i="10"/>
  <c r="M197" i="10" s="1"/>
  <c r="J220" i="10"/>
  <c r="M220" i="10" s="1"/>
  <c r="J237" i="10"/>
  <c r="M237" i="10" s="1"/>
  <c r="J170" i="10"/>
  <c r="M170" i="10" s="1"/>
  <c r="J243" i="10"/>
  <c r="M243" i="10" s="1"/>
  <c r="J239" i="10"/>
  <c r="M239" i="10" s="1"/>
  <c r="J46" i="10"/>
  <c r="M46" i="10" s="1"/>
  <c r="J224" i="10"/>
  <c r="M224" i="10" s="1"/>
  <c r="J231" i="10"/>
  <c r="M231" i="10" s="1"/>
  <c r="J183" i="10"/>
  <c r="M183" i="10" s="1"/>
  <c r="J172" i="10"/>
  <c r="M172" i="10" s="1"/>
  <c r="J236" i="10"/>
  <c r="M236" i="10" s="1"/>
  <c r="J230" i="10"/>
  <c r="M230" i="10" s="1"/>
  <c r="J227" i="10"/>
  <c r="M227" i="10" s="1"/>
  <c r="J226" i="10"/>
  <c r="M226" i="10" s="1"/>
  <c r="J39" i="10"/>
  <c r="M39" i="10" s="1"/>
  <c r="J35" i="10"/>
  <c r="M35" i="10" s="1"/>
  <c r="J157" i="10"/>
  <c r="M157" i="10" s="1"/>
  <c r="J34" i="10"/>
  <c r="M34" i="10" s="1"/>
  <c r="J177" i="10"/>
  <c r="M177" i="10" s="1"/>
  <c r="J208" i="10"/>
  <c r="M208" i="10" s="1"/>
  <c r="J160" i="10"/>
  <c r="M160" i="10" s="1"/>
  <c r="J41" i="10"/>
  <c r="J33" i="10"/>
  <c r="J32" i="10"/>
  <c r="J225" i="10"/>
  <c r="M225" i="10" s="1"/>
  <c r="J31" i="10"/>
  <c r="J29" i="10"/>
  <c r="J28" i="10"/>
  <c r="J38" i="10"/>
  <c r="J223" i="10"/>
  <c r="M223" i="10" s="1"/>
  <c r="J36" i="10"/>
  <c r="J37" i="10"/>
  <c r="J212" i="10"/>
  <c r="M212" i="10" s="1"/>
  <c r="J40" i="10"/>
  <c r="J219" i="10"/>
  <c r="M219" i="10" s="1"/>
  <c r="J214" i="10"/>
  <c r="M214" i="10" s="1"/>
  <c r="J210" i="10"/>
  <c r="M210" i="10" s="1"/>
  <c r="J205" i="10"/>
  <c r="J146" i="10"/>
  <c r="J30" i="10"/>
  <c r="J171" i="10"/>
  <c r="J187" i="10"/>
  <c r="J186" i="10"/>
  <c r="J189" i="10"/>
  <c r="D29" i="12"/>
  <c r="G29" i="12"/>
  <c r="H29" i="12" s="1"/>
  <c r="G28" i="12"/>
  <c r="H28" i="12" s="1"/>
  <c r="D28" i="12"/>
  <c r="G27" i="12"/>
  <c r="H27" i="12" s="1"/>
  <c r="D27" i="12"/>
  <c r="J2" i="10"/>
  <c r="M2" i="10" s="1"/>
  <c r="J57" i="10"/>
  <c r="D26" i="12"/>
  <c r="G26" i="12"/>
  <c r="H26" i="12" s="1"/>
  <c r="D25" i="12"/>
  <c r="G25" i="12"/>
  <c r="H25" i="12" s="1"/>
  <c r="D24" i="12"/>
  <c r="G24" i="12"/>
  <c r="H24" i="12" s="1"/>
  <c r="D23" i="12"/>
  <c r="G23" i="12"/>
  <c r="H23" i="12" s="1"/>
  <c r="D22" i="12"/>
  <c r="G22" i="12"/>
  <c r="H22" i="12" s="1"/>
  <c r="G21" i="12"/>
  <c r="H21" i="12" s="1"/>
  <c r="D21" i="12"/>
  <c r="G20" i="12"/>
  <c r="H20" i="12" s="1"/>
  <c r="D20" i="12"/>
  <c r="G19" i="12"/>
  <c r="H19" i="12" s="1"/>
  <c r="D19" i="12"/>
  <c r="G18" i="12"/>
  <c r="H18" i="12" s="1"/>
  <c r="D18" i="12"/>
  <c r="D17" i="12"/>
  <c r="G17" i="12"/>
  <c r="H17" i="12" s="1"/>
  <c r="D16" i="12"/>
  <c r="G16" i="12"/>
  <c r="H16" i="12" s="1"/>
  <c r="G15" i="12"/>
  <c r="H15" i="12" s="1"/>
  <c r="D15" i="12"/>
  <c r="D11" i="12"/>
  <c r="G11" i="12"/>
  <c r="H11" i="12" s="1"/>
  <c r="D10" i="12"/>
  <c r="G10" i="12"/>
  <c r="H10" i="12" s="1"/>
  <c r="G14" i="12"/>
  <c r="H14" i="12" s="1"/>
  <c r="D14" i="12"/>
  <c r="G13" i="12"/>
  <c r="H13" i="12" s="1"/>
  <c r="D13" i="12"/>
  <c r="G12" i="12"/>
  <c r="H12" i="12" s="1"/>
  <c r="D12" i="12"/>
  <c r="G9" i="12"/>
  <c r="H9" i="12" s="1"/>
  <c r="D9" i="12"/>
  <c r="J9" i="10"/>
  <c r="M9" i="10" s="1"/>
  <c r="I4" i="10"/>
  <c r="J4" i="10" s="1"/>
  <c r="M4" i="10" s="1"/>
  <c r="C48" i="7"/>
  <c r="C52" i="7" s="1"/>
  <c r="N4" i="6"/>
  <c r="D4" i="6"/>
  <c r="AA4" i="6"/>
  <c r="M4" i="6"/>
  <c r="U4" i="6"/>
  <c r="F4" i="6"/>
  <c r="H4" i="6"/>
  <c r="R4" i="6"/>
  <c r="AC4" i="6"/>
  <c r="K4" i="6"/>
  <c r="Z4" i="6"/>
  <c r="V4" i="6"/>
  <c r="G4" i="6"/>
  <c r="Q4" i="6"/>
  <c r="AH4" i="6"/>
  <c r="W4" i="6"/>
  <c r="AD4" i="6"/>
  <c r="X4" i="6"/>
  <c r="L4" i="6"/>
  <c r="P4" i="6"/>
  <c r="AF4" i="6"/>
  <c r="Y4" i="6"/>
  <c r="S4" i="6"/>
  <c r="AG4" i="6"/>
  <c r="I4" i="6"/>
  <c r="T4" i="6"/>
  <c r="AE4" i="6"/>
  <c r="J4" i="6"/>
  <c r="AB4" i="6"/>
  <c r="E4" i="6"/>
  <c r="O4" i="6"/>
  <c r="R5" i="6"/>
  <c r="AH5" i="6"/>
  <c r="Y5" i="6"/>
  <c r="AD5" i="6"/>
  <c r="AG5" i="6"/>
  <c r="X5" i="6"/>
  <c r="O5" i="6"/>
  <c r="N5" i="6"/>
  <c r="L5" i="6"/>
  <c r="F5" i="6"/>
  <c r="W5" i="6"/>
  <c r="J5" i="6"/>
  <c r="AF5" i="6"/>
  <c r="K5" i="6"/>
  <c r="P5" i="6"/>
  <c r="G5" i="6"/>
  <c r="Z5" i="6"/>
  <c r="AC5" i="6"/>
  <c r="T5" i="6"/>
  <c r="D5" i="6"/>
  <c r="AE5" i="6"/>
  <c r="M5" i="6"/>
  <c r="H5" i="6"/>
  <c r="I5" i="6"/>
  <c r="V5" i="6"/>
  <c r="AA5" i="6"/>
  <c r="Q5" i="6"/>
  <c r="E5" i="6"/>
  <c r="S5" i="6"/>
  <c r="U5" i="6"/>
  <c r="AB5" i="6"/>
  <c r="AC6" i="6"/>
  <c r="W6" i="6"/>
  <c r="F6" i="6"/>
  <c r="I6" i="6"/>
  <c r="M6" i="6"/>
  <c r="E6" i="6"/>
  <c r="L6" i="6"/>
  <c r="G6" i="6"/>
  <c r="AB6" i="6"/>
  <c r="J6" i="6"/>
  <c r="K6" i="6"/>
  <c r="AG6" i="6"/>
  <c r="H6" i="6"/>
  <c r="Z6" i="6"/>
  <c r="U6" i="6"/>
  <c r="V6" i="6"/>
  <c r="AA6" i="6"/>
  <c r="S6" i="6"/>
  <c r="AF6" i="6"/>
  <c r="N6" i="6"/>
  <c r="AH6" i="6"/>
  <c r="Y6" i="6"/>
  <c r="O6" i="6"/>
  <c r="AE6" i="6"/>
  <c r="T6" i="6"/>
  <c r="P6" i="6"/>
  <c r="X6" i="6"/>
  <c r="AD6" i="6"/>
  <c r="Q6" i="6"/>
  <c r="R6" i="6"/>
  <c r="D6" i="6"/>
  <c r="AH7" i="6"/>
  <c r="F7" i="6"/>
  <c r="X7" i="6"/>
  <c r="Q7" i="6"/>
  <c r="O7" i="6"/>
  <c r="G7" i="6"/>
  <c r="R7" i="6"/>
  <c r="AB7" i="6"/>
  <c r="L7" i="6"/>
  <c r="H7" i="6"/>
  <c r="P7" i="6"/>
  <c r="AE7" i="6"/>
  <c r="AA7" i="6"/>
  <c r="M7" i="6"/>
  <c r="K7" i="6"/>
  <c r="J7" i="6"/>
  <c r="T7" i="6"/>
  <c r="AD7" i="6"/>
  <c r="AG7" i="6"/>
  <c r="E7" i="6"/>
  <c r="V7" i="6"/>
  <c r="U7" i="6"/>
  <c r="W7" i="6"/>
  <c r="AF7" i="6"/>
  <c r="S7" i="6"/>
  <c r="AC7" i="6"/>
  <c r="I7" i="6"/>
  <c r="Z7" i="6"/>
  <c r="Y7" i="6"/>
  <c r="D7" i="6"/>
  <c r="N7" i="6"/>
  <c r="AD8" i="6"/>
  <c r="Q8" i="6"/>
  <c r="G8" i="6"/>
  <c r="O8" i="6"/>
  <c r="R8" i="6"/>
  <c r="H8" i="6"/>
  <c r="D8" i="6"/>
  <c r="Z8" i="6"/>
  <c r="AA8" i="6"/>
  <c r="N8" i="6"/>
  <c r="AH8" i="6"/>
  <c r="AC8" i="6"/>
  <c r="AG8" i="6"/>
  <c r="E8" i="6"/>
  <c r="V8" i="6"/>
  <c r="M8" i="6"/>
  <c r="L8" i="6"/>
  <c r="I8" i="6"/>
  <c r="K8" i="6"/>
  <c r="W8" i="6"/>
  <c r="J8" i="6"/>
  <c r="S8" i="6"/>
  <c r="F8" i="6"/>
  <c r="AE8" i="6"/>
  <c r="Y8" i="6"/>
  <c r="AB8" i="6"/>
  <c r="P8" i="6"/>
  <c r="T8" i="6"/>
  <c r="AF8" i="6"/>
  <c r="X8" i="6"/>
  <c r="U8" i="6"/>
  <c r="AH9" i="6"/>
  <c r="G9" i="6"/>
  <c r="F9" i="6"/>
  <c r="H9" i="6"/>
  <c r="N9" i="6"/>
  <c r="I9" i="6"/>
  <c r="AA9" i="6"/>
  <c r="AC9" i="6"/>
  <c r="R9" i="6"/>
  <c r="T9" i="6"/>
  <c r="V9" i="6"/>
  <c r="AD9" i="6"/>
  <c r="Y9" i="6"/>
  <c r="J9" i="6"/>
  <c r="AF9" i="6"/>
  <c r="O9" i="6"/>
  <c r="AE9" i="6"/>
  <c r="S9" i="6"/>
  <c r="X9" i="6"/>
  <c r="U9" i="6"/>
  <c r="K9" i="6"/>
  <c r="Z9" i="6"/>
  <c r="W9" i="6"/>
  <c r="P9" i="6"/>
  <c r="E9" i="6"/>
  <c r="D9" i="6"/>
  <c r="AB9" i="6"/>
  <c r="AG9" i="6"/>
  <c r="Q9" i="6"/>
  <c r="M9" i="6"/>
  <c r="L9" i="6"/>
  <c r="H10" i="6"/>
  <c r="I10" i="6"/>
  <c r="AH10" i="6"/>
  <c r="AA10" i="6"/>
  <c r="V10" i="6"/>
  <c r="J10" i="6"/>
  <c r="AB10" i="6"/>
  <c r="AE10" i="6"/>
  <c r="O10" i="6"/>
  <c r="U10" i="6"/>
  <c r="AD10" i="6"/>
  <c r="E10" i="6"/>
  <c r="Q10" i="6"/>
  <c r="AG10" i="6"/>
  <c r="X10" i="6"/>
  <c r="AC10" i="6"/>
  <c r="P10" i="6"/>
  <c r="Y10" i="6"/>
  <c r="F10" i="6"/>
  <c r="L10" i="6"/>
  <c r="M10" i="6"/>
  <c r="W10" i="6"/>
  <c r="Z10" i="6"/>
  <c r="G10" i="6"/>
  <c r="S10" i="6"/>
  <c r="K10" i="6"/>
  <c r="AF10" i="6"/>
  <c r="D10" i="6"/>
  <c r="N10" i="6"/>
  <c r="R10" i="6"/>
  <c r="T10" i="6"/>
  <c r="AC11" i="6"/>
  <c r="N11" i="6"/>
  <c r="M11" i="6"/>
  <c r="K11" i="6"/>
  <c r="AD11" i="6"/>
  <c r="J11" i="6"/>
  <c r="I11" i="6"/>
  <c r="H11" i="6"/>
  <c r="G11" i="6"/>
  <c r="AE11" i="6"/>
  <c r="F11" i="6"/>
  <c r="E11" i="6"/>
  <c r="D11" i="6"/>
  <c r="L11" i="6"/>
  <c r="W11" i="6"/>
  <c r="AF11" i="6"/>
  <c r="V11" i="6"/>
  <c r="U11" i="6"/>
  <c r="T11" i="6"/>
  <c r="AA11" i="6"/>
  <c r="S11" i="6"/>
  <c r="R11" i="6"/>
  <c r="AG11" i="6"/>
  <c r="Y11" i="6"/>
  <c r="Z11" i="6"/>
  <c r="X11" i="6"/>
  <c r="Q11" i="6"/>
  <c r="AB11" i="6"/>
  <c r="P11" i="6"/>
  <c r="O11" i="6"/>
  <c r="AH11" i="6"/>
  <c r="E12" i="6"/>
  <c r="Q12" i="6"/>
  <c r="AD12" i="6"/>
  <c r="M12" i="6"/>
  <c r="O12" i="6"/>
  <c r="X12" i="6"/>
  <c r="AH12" i="6"/>
  <c r="T12" i="6"/>
  <c r="F12" i="6"/>
  <c r="W12" i="6"/>
  <c r="D12" i="6"/>
  <c r="I12" i="6"/>
  <c r="S12" i="6"/>
  <c r="AC12" i="6"/>
  <c r="AF12" i="6"/>
  <c r="G12" i="6"/>
  <c r="AA12" i="6"/>
  <c r="Y12" i="6"/>
  <c r="H12" i="6"/>
  <c r="N12" i="6"/>
  <c r="AE12" i="6"/>
  <c r="V12" i="6"/>
  <c r="J12" i="6"/>
  <c r="K12" i="6"/>
  <c r="U12" i="6"/>
  <c r="AG12" i="6"/>
  <c r="P12" i="6"/>
  <c r="R12" i="6"/>
  <c r="AB12" i="6"/>
  <c r="Z12" i="6"/>
  <c r="W13" i="6"/>
  <c r="AC13" i="6"/>
  <c r="AA13" i="6"/>
  <c r="Y13" i="6"/>
  <c r="AD13" i="6"/>
  <c r="I13" i="6"/>
  <c r="X13" i="6"/>
  <c r="AH13" i="6"/>
  <c r="O13" i="6"/>
  <c r="AE13" i="6"/>
  <c r="T13" i="6"/>
  <c r="V13" i="6"/>
  <c r="J13" i="6"/>
  <c r="D13" i="6"/>
  <c r="K13" i="6"/>
  <c r="M13" i="6"/>
  <c r="S13" i="6"/>
  <c r="Q13" i="6"/>
  <c r="L13" i="6"/>
  <c r="N13" i="6"/>
  <c r="U13" i="6"/>
  <c r="AF13" i="6"/>
  <c r="AG13" i="6"/>
  <c r="P13" i="6"/>
  <c r="E13" i="6"/>
  <c r="F13" i="6"/>
  <c r="R13" i="6"/>
  <c r="G13" i="6"/>
  <c r="AB13" i="6"/>
  <c r="H13" i="6"/>
  <c r="Z13" i="6"/>
  <c r="H14" i="6"/>
  <c r="G14" i="6"/>
  <c r="F14" i="6"/>
  <c r="L14" i="6"/>
  <c r="Y14" i="6"/>
  <c r="N14" i="6"/>
  <c r="AF14" i="6"/>
  <c r="Z14" i="6"/>
  <c r="X14" i="6"/>
  <c r="AA14" i="6"/>
  <c r="AB14" i="6"/>
  <c r="U14" i="6"/>
  <c r="E14" i="6"/>
  <c r="D14" i="6"/>
  <c r="M14" i="6"/>
  <c r="AC14" i="6"/>
  <c r="R14" i="6"/>
  <c r="AG14" i="6"/>
  <c r="W14" i="6"/>
  <c r="Q14" i="6"/>
  <c r="O14" i="6"/>
  <c r="AD14" i="6"/>
  <c r="T14" i="6"/>
  <c r="P14" i="6"/>
  <c r="K14" i="6"/>
  <c r="S14" i="6"/>
  <c r="J14" i="6"/>
  <c r="AH14" i="6"/>
  <c r="AE14" i="6"/>
  <c r="V14" i="6"/>
  <c r="I14" i="6"/>
  <c r="AF15" i="6"/>
  <c r="K15" i="6"/>
  <c r="R15" i="6"/>
  <c r="X15" i="6"/>
  <c r="AE15" i="6"/>
  <c r="AD15" i="6"/>
  <c r="L15" i="6"/>
  <c r="F15" i="6"/>
  <c r="O15" i="6"/>
  <c r="Z15" i="6"/>
  <c r="M15" i="6"/>
  <c r="U15" i="6"/>
  <c r="D15" i="6"/>
  <c r="Y15" i="6"/>
  <c r="G15" i="6"/>
  <c r="I15" i="6"/>
  <c r="V15" i="6"/>
  <c r="E15" i="6"/>
  <c r="P15" i="6"/>
  <c r="N15" i="6"/>
  <c r="AG15" i="6"/>
  <c r="J15" i="6"/>
  <c r="AA15" i="6"/>
  <c r="W15" i="6"/>
  <c r="S15" i="6"/>
  <c r="Q15" i="6"/>
  <c r="AH15" i="6"/>
  <c r="T15" i="6"/>
  <c r="AC15" i="6"/>
  <c r="AB15" i="6"/>
  <c r="H15" i="6"/>
  <c r="AF16" i="6"/>
  <c r="Y16" i="6"/>
  <c r="M16" i="6"/>
  <c r="U16" i="6"/>
  <c r="R16" i="6"/>
  <c r="S16" i="6"/>
  <c r="P16" i="6"/>
  <c r="AA16" i="6"/>
  <c r="Z16" i="6"/>
  <c r="V16" i="6"/>
  <c r="AG16" i="6"/>
  <c r="AC16" i="6"/>
  <c r="AH16" i="6"/>
  <c r="H16" i="6"/>
  <c r="G16" i="6"/>
  <c r="F16" i="6"/>
  <c r="D16" i="6"/>
  <c r="O16" i="6"/>
  <c r="L16" i="6"/>
  <c r="AE16" i="6"/>
  <c r="W16" i="6"/>
  <c r="K16" i="6"/>
  <c r="J16" i="6"/>
  <c r="I16" i="6"/>
  <c r="Q16" i="6"/>
  <c r="AD16" i="6"/>
  <c r="E16" i="6"/>
  <c r="N16" i="6"/>
  <c r="T16" i="6"/>
  <c r="AB16" i="6"/>
  <c r="X16" i="6"/>
  <c r="L17" i="6"/>
  <c r="V17" i="6"/>
  <c r="AD17" i="6"/>
  <c r="AB17" i="6"/>
  <c r="I17" i="6"/>
  <c r="M17" i="6"/>
  <c r="W17" i="6"/>
  <c r="AC17" i="6"/>
  <c r="J17" i="6"/>
  <c r="Y17" i="6"/>
  <c r="R17" i="6"/>
  <c r="Z17" i="6"/>
  <c r="F17" i="6"/>
  <c r="T17" i="6"/>
  <c r="N17" i="6"/>
  <c r="AH17" i="6"/>
  <c r="Q17" i="6"/>
  <c r="E17" i="6"/>
  <c r="X17" i="6"/>
  <c r="D17" i="6"/>
  <c r="G17" i="6"/>
  <c r="O17" i="6"/>
  <c r="AG17" i="6"/>
  <c r="K17" i="6"/>
  <c r="P17" i="6"/>
  <c r="S17" i="6"/>
  <c r="AF17" i="6"/>
  <c r="AA17" i="6"/>
  <c r="U17" i="6"/>
  <c r="AE17" i="6"/>
  <c r="H17" i="6"/>
  <c r="AE18" i="6"/>
  <c r="O18" i="6"/>
  <c r="F18" i="6"/>
  <c r="K18" i="6"/>
  <c r="M18" i="6"/>
  <c r="V18" i="6"/>
  <c r="Z18" i="6"/>
  <c r="X18" i="6"/>
  <c r="E18" i="6"/>
  <c r="N18" i="6"/>
  <c r="AH18" i="6"/>
  <c r="Y18" i="6"/>
  <c r="G18" i="6"/>
  <c r="J18" i="6"/>
  <c r="L18" i="6"/>
  <c r="P18" i="6"/>
  <c r="AB18" i="6"/>
  <c r="AA18" i="6"/>
  <c r="R18" i="6"/>
  <c r="I18" i="6"/>
  <c r="U18" i="6"/>
  <c r="W18" i="6"/>
  <c r="AG18" i="6"/>
  <c r="S18" i="6"/>
  <c r="H18" i="6"/>
  <c r="AF18" i="6"/>
  <c r="Q18" i="6"/>
  <c r="AD18" i="6"/>
  <c r="AC18" i="6"/>
  <c r="T18" i="6"/>
  <c r="D18" i="6"/>
  <c r="AI18" i="6" s="1"/>
  <c r="D36" i="7" s="1"/>
  <c r="Z19" i="6"/>
  <c r="AH19" i="6"/>
  <c r="K19" i="6"/>
  <c r="AB19" i="6"/>
  <c r="I19" i="6"/>
  <c r="AE19" i="6"/>
  <c r="H19" i="6"/>
  <c r="U19" i="6"/>
  <c r="AC19" i="6"/>
  <c r="J19" i="6"/>
  <c r="V19" i="6"/>
  <c r="O19" i="6"/>
  <c r="AA19" i="6"/>
  <c r="Y19" i="6"/>
  <c r="L19" i="6"/>
  <c r="AF19" i="6"/>
  <c r="W19" i="6"/>
  <c r="R19" i="6"/>
  <c r="AD19" i="6"/>
  <c r="Q19" i="6"/>
  <c r="AG19" i="6"/>
  <c r="N19" i="6"/>
  <c r="F19" i="6"/>
  <c r="S19" i="6"/>
  <c r="X19" i="6"/>
  <c r="E19" i="6"/>
  <c r="T19" i="6"/>
  <c r="G19" i="6"/>
  <c r="P19" i="6"/>
  <c r="M19" i="6"/>
  <c r="D19" i="6"/>
  <c r="AI19" i="6" s="1"/>
  <c r="D37" i="7" s="1"/>
  <c r="K20" i="6"/>
  <c r="Q20" i="6"/>
  <c r="AB20" i="6"/>
  <c r="AG20" i="6"/>
  <c r="AF20" i="6"/>
  <c r="U20" i="6"/>
  <c r="Z20" i="6"/>
  <c r="I20" i="6"/>
  <c r="AA20" i="6"/>
  <c r="W20" i="6"/>
  <c r="F20" i="6"/>
  <c r="Y20" i="6"/>
  <c r="X20" i="6"/>
  <c r="P20" i="6"/>
  <c r="T20" i="6"/>
  <c r="AE20" i="6"/>
  <c r="AH20" i="6"/>
  <c r="AD20" i="6"/>
  <c r="N20" i="6"/>
  <c r="R20" i="6"/>
  <c r="E20" i="6"/>
  <c r="S20" i="6"/>
  <c r="G20" i="6"/>
  <c r="M20" i="6"/>
  <c r="V20" i="6"/>
  <c r="L20" i="6"/>
  <c r="AC20" i="6"/>
  <c r="O20" i="6"/>
  <c r="J20" i="6"/>
  <c r="H20" i="6"/>
  <c r="D20" i="6"/>
  <c r="AF21" i="6"/>
  <c r="AB21" i="6"/>
  <c r="V21" i="6"/>
  <c r="P21" i="6"/>
  <c r="O21" i="6"/>
  <c r="AA21" i="6"/>
  <c r="F21" i="6"/>
  <c r="T21" i="6"/>
  <c r="X21" i="6"/>
  <c r="K21" i="6"/>
  <c r="AD21" i="6"/>
  <c r="Z21" i="6"/>
  <c r="M21" i="6"/>
  <c r="G21" i="6"/>
  <c r="L21" i="6"/>
  <c r="N21" i="6"/>
  <c r="AH21" i="6"/>
  <c r="AG21" i="6"/>
  <c r="W21" i="6"/>
  <c r="E21" i="6"/>
  <c r="AC21" i="6"/>
  <c r="H21" i="6"/>
  <c r="AE21" i="6"/>
  <c r="I21" i="6"/>
  <c r="Q21" i="6"/>
  <c r="Y21" i="6"/>
  <c r="U21" i="6"/>
  <c r="R21" i="6"/>
  <c r="S21" i="6"/>
  <c r="J21" i="6"/>
  <c r="D21" i="6"/>
  <c r="R22" i="6"/>
  <c r="I22" i="6"/>
  <c r="T22" i="6"/>
  <c r="K22" i="6"/>
  <c r="X22" i="6"/>
  <c r="W22" i="6"/>
  <c r="AB22" i="6"/>
  <c r="G22" i="6"/>
  <c r="AD22" i="6"/>
  <c r="AE22" i="6"/>
  <c r="AG22" i="6"/>
  <c r="AH22" i="6"/>
  <c r="N22" i="6"/>
  <c r="U22" i="6"/>
  <c r="V22" i="6"/>
  <c r="Q22" i="6"/>
  <c r="Y22" i="6"/>
  <c r="M22" i="6"/>
  <c r="H22" i="6"/>
  <c r="S22" i="6"/>
  <c r="Z22" i="6"/>
  <c r="E22" i="6"/>
  <c r="AF22" i="6"/>
  <c r="P22" i="6"/>
  <c r="F22" i="6"/>
  <c r="O22" i="6"/>
  <c r="J22" i="6"/>
  <c r="AA22" i="6"/>
  <c r="D22" i="6"/>
  <c r="L22" i="6"/>
  <c r="AC22" i="6"/>
  <c r="V23" i="6"/>
  <c r="K23" i="6"/>
  <c r="U23" i="6"/>
  <c r="S23" i="6"/>
  <c r="AG23" i="6"/>
  <c r="N23" i="6"/>
  <c r="R23" i="6"/>
  <c r="G23" i="6"/>
  <c r="AB23" i="6"/>
  <c r="Z23" i="6"/>
  <c r="M23" i="6"/>
  <c r="X23" i="6"/>
  <c r="J23" i="6"/>
  <c r="AC23" i="6"/>
  <c r="P23" i="6"/>
  <c r="L23" i="6"/>
  <c r="AE23" i="6"/>
  <c r="E23" i="6"/>
  <c r="H23" i="6"/>
  <c r="W23" i="6"/>
  <c r="AF23" i="6"/>
  <c r="T23" i="6"/>
  <c r="AD23" i="6"/>
  <c r="O23" i="6"/>
  <c r="AH23" i="6"/>
  <c r="F23" i="6"/>
  <c r="Q23" i="6"/>
  <c r="Y23" i="6"/>
  <c r="AA23" i="6"/>
  <c r="I23" i="6"/>
  <c r="D23" i="6"/>
  <c r="AI23" i="6" s="1"/>
  <c r="D41" i="7" s="1"/>
  <c r="L24" i="6"/>
  <c r="V24" i="6"/>
  <c r="K24" i="6"/>
  <c r="U24" i="6"/>
  <c r="J24" i="6"/>
  <c r="I24" i="6"/>
  <c r="H24" i="6"/>
  <c r="W24" i="6"/>
  <c r="S24" i="6"/>
  <c r="G24" i="6"/>
  <c r="M24" i="6"/>
  <c r="N24" i="6"/>
  <c r="AH24" i="6"/>
  <c r="P24" i="6"/>
  <c r="AG24" i="6"/>
  <c r="AF24" i="6"/>
  <c r="E24" i="6"/>
  <c r="AE24" i="6"/>
  <c r="X24" i="6"/>
  <c r="AD24" i="6"/>
  <c r="AC24" i="6"/>
  <c r="AB24" i="6"/>
  <c r="AA24" i="6"/>
  <c r="O24" i="6"/>
  <c r="Y24" i="6"/>
  <c r="Q24" i="6"/>
  <c r="R24" i="6"/>
  <c r="Z24" i="6"/>
  <c r="T24" i="6"/>
  <c r="F24" i="6"/>
  <c r="D24" i="6"/>
  <c r="AD25" i="6"/>
  <c r="Y25" i="6"/>
  <c r="H25" i="6"/>
  <c r="AC25" i="6"/>
  <c r="AA25" i="6"/>
  <c r="N25" i="6"/>
  <c r="Q25" i="6"/>
  <c r="AF25" i="6"/>
  <c r="M25" i="6"/>
  <c r="AH25" i="6"/>
  <c r="D25" i="6"/>
  <c r="K25" i="6"/>
  <c r="O25" i="6"/>
  <c r="Z25" i="6"/>
  <c r="P25" i="6"/>
  <c r="G25" i="6"/>
  <c r="E25" i="6"/>
  <c r="V25" i="6"/>
  <c r="AB25" i="6"/>
  <c r="W25" i="6"/>
  <c r="X25" i="6"/>
  <c r="AG25" i="6"/>
  <c r="T25" i="6"/>
  <c r="AE25" i="6"/>
  <c r="R25" i="6"/>
  <c r="J25" i="6"/>
  <c r="L25" i="6"/>
  <c r="I25" i="6"/>
  <c r="S25" i="6"/>
  <c r="F25" i="6"/>
  <c r="U25" i="6"/>
  <c r="L26" i="6"/>
  <c r="M26" i="6"/>
  <c r="S26" i="6"/>
  <c r="AG26" i="6"/>
  <c r="H26" i="6"/>
  <c r="AE26" i="6"/>
  <c r="T26" i="6"/>
  <c r="Q26" i="6"/>
  <c r="AF26" i="6"/>
  <c r="U26" i="6"/>
  <c r="Y26" i="6"/>
  <c r="Z26" i="6"/>
  <c r="F26" i="6"/>
  <c r="AB26" i="6"/>
  <c r="V26" i="6"/>
  <c r="G26" i="6"/>
  <c r="E26" i="6"/>
  <c r="X26" i="6"/>
  <c r="J26" i="6"/>
  <c r="R26" i="6"/>
  <c r="O26" i="6"/>
  <c r="AH26" i="6"/>
  <c r="AA26" i="6"/>
  <c r="AC26" i="6"/>
  <c r="K26" i="6"/>
  <c r="D26" i="6"/>
  <c r="AD26" i="6"/>
  <c r="P26" i="6"/>
  <c r="N26" i="6"/>
  <c r="I26" i="6"/>
  <c r="W26" i="6"/>
  <c r="J27" i="6"/>
  <c r="O27" i="6"/>
  <c r="AE27" i="6"/>
  <c r="L27" i="6"/>
  <c r="H27" i="6"/>
  <c r="V27" i="6"/>
  <c r="R27" i="6"/>
  <c r="AC27" i="6"/>
  <c r="G27" i="6"/>
  <c r="AF27" i="6"/>
  <c r="AB27" i="6"/>
  <c r="AD27" i="6"/>
  <c r="T27" i="6"/>
  <c r="K27" i="6"/>
  <c r="W27" i="6"/>
  <c r="E27" i="6"/>
  <c r="X27" i="6"/>
  <c r="Q27" i="6"/>
  <c r="Z27" i="6"/>
  <c r="M27" i="6"/>
  <c r="N27" i="6"/>
  <c r="AG27" i="6"/>
  <c r="P27" i="6"/>
  <c r="AA27" i="6"/>
  <c r="I27" i="6"/>
  <c r="U27" i="6"/>
  <c r="F27" i="6"/>
  <c r="S27" i="6"/>
  <c r="Y27" i="6"/>
  <c r="AH27" i="6"/>
  <c r="D27" i="6"/>
  <c r="O28" i="6"/>
  <c r="U28" i="6"/>
  <c r="G28" i="6"/>
  <c r="R28" i="6"/>
  <c r="P28" i="6"/>
  <c r="AC28" i="6"/>
  <c r="H28" i="6"/>
  <c r="J28" i="6"/>
  <c r="AB28" i="6"/>
  <c r="S28" i="6"/>
  <c r="AG28" i="6"/>
  <c r="M28" i="6"/>
  <c r="AH28" i="6"/>
  <c r="I28" i="6"/>
  <c r="AF28" i="6"/>
  <c r="F28" i="6"/>
  <c r="Z28" i="6"/>
  <c r="X28" i="6"/>
  <c r="V28" i="6"/>
  <c r="E28" i="6"/>
  <c r="Y28" i="6"/>
  <c r="AA28" i="6"/>
  <c r="T28" i="6"/>
  <c r="K28" i="6"/>
  <c r="Q28" i="6"/>
  <c r="N28" i="6"/>
  <c r="W28" i="6"/>
  <c r="AE28" i="6"/>
  <c r="AD28" i="6"/>
  <c r="L28" i="6"/>
  <c r="D28" i="6"/>
  <c r="Y29" i="6"/>
  <c r="K29" i="6"/>
  <c r="M29" i="6"/>
  <c r="O29" i="6"/>
  <c r="P29" i="6"/>
  <c r="AB29" i="6"/>
  <c r="AC29" i="6"/>
  <c r="J29" i="6"/>
  <c r="R29" i="6"/>
  <c r="E29" i="6"/>
  <c r="X29" i="6"/>
  <c r="S29" i="6"/>
  <c r="AD29" i="6"/>
  <c r="Q29" i="6"/>
  <c r="Z29" i="6"/>
  <c r="I29" i="6"/>
  <c r="W29" i="6"/>
  <c r="AE29" i="6"/>
  <c r="U29" i="6"/>
  <c r="AA29" i="6"/>
  <c r="F29" i="6"/>
  <c r="AF29" i="6"/>
  <c r="H29" i="6"/>
  <c r="AG29" i="6"/>
  <c r="AH29" i="6"/>
  <c r="G29" i="6"/>
  <c r="N29" i="6"/>
  <c r="L29" i="6"/>
  <c r="V29" i="6"/>
  <c r="T29" i="6"/>
  <c r="D29" i="6"/>
  <c r="O30" i="6"/>
  <c r="H30" i="6"/>
  <c r="Y30" i="6"/>
  <c r="W30" i="6"/>
  <c r="E30" i="6"/>
  <c r="X30" i="6"/>
  <c r="K30" i="6"/>
  <c r="N30" i="6"/>
  <c r="F30" i="6"/>
  <c r="I30" i="6"/>
  <c r="U30" i="6"/>
  <c r="AF30" i="6"/>
  <c r="AE30" i="6"/>
  <c r="M30" i="6"/>
  <c r="AD30" i="6"/>
  <c r="R30" i="6"/>
  <c r="P30" i="6"/>
  <c r="AA30" i="6"/>
  <c r="S30" i="6"/>
  <c r="L30" i="6"/>
  <c r="V30" i="6"/>
  <c r="J30" i="6"/>
  <c r="AC30" i="6"/>
  <c r="Q30" i="6"/>
  <c r="AB30" i="6"/>
  <c r="AH30" i="6"/>
  <c r="T30" i="6"/>
  <c r="G30" i="6"/>
  <c r="Z30" i="6"/>
  <c r="AG30" i="6"/>
  <c r="D30" i="6"/>
  <c r="W31" i="6"/>
  <c r="O31" i="6"/>
  <c r="E31" i="6"/>
  <c r="X31" i="6"/>
  <c r="H31" i="6"/>
  <c r="N31" i="6"/>
  <c r="G31" i="6"/>
  <c r="F31" i="6"/>
  <c r="AH31" i="6"/>
  <c r="AG31" i="6"/>
  <c r="AE31" i="6"/>
  <c r="AD31" i="6"/>
  <c r="AC31" i="6"/>
  <c r="L31" i="6"/>
  <c r="M31" i="6"/>
  <c r="AB31" i="6"/>
  <c r="AA31" i="6"/>
  <c r="V31" i="6"/>
  <c r="Z31" i="6"/>
  <c r="Y31" i="6"/>
  <c r="K31" i="6"/>
  <c r="S31" i="6"/>
  <c r="R31" i="6"/>
  <c r="T31" i="6"/>
  <c r="Q31" i="6"/>
  <c r="U31" i="6"/>
  <c r="J31" i="6"/>
  <c r="P31" i="6"/>
  <c r="AF31" i="6"/>
  <c r="I31" i="6"/>
  <c r="D31" i="6"/>
  <c r="F32" i="6"/>
  <c r="G32" i="6"/>
  <c r="V32" i="6"/>
  <c r="W32" i="6"/>
  <c r="T32" i="6"/>
  <c r="AB32" i="6"/>
  <c r="M32" i="6"/>
  <c r="O32" i="6"/>
  <c r="R32" i="6"/>
  <c r="Q32" i="6"/>
  <c r="AC32" i="6"/>
  <c r="U32" i="6"/>
  <c r="AD32" i="6"/>
  <c r="L32" i="6"/>
  <c r="E32" i="6"/>
  <c r="H32" i="6"/>
  <c r="AE32" i="6"/>
  <c r="K32" i="6"/>
  <c r="P32" i="6"/>
  <c r="AF32" i="6"/>
  <c r="X32" i="6"/>
  <c r="AG32" i="6"/>
  <c r="N32" i="6"/>
  <c r="AH32" i="6"/>
  <c r="D32" i="6"/>
  <c r="I32" i="6"/>
  <c r="AA32" i="6"/>
  <c r="Z32" i="6"/>
  <c r="J32" i="6"/>
  <c r="Y32" i="6"/>
  <c r="S32" i="6"/>
  <c r="W33" i="6"/>
  <c r="G33" i="6"/>
  <c r="AB33" i="6"/>
  <c r="P33" i="6"/>
  <c r="O33" i="6"/>
  <c r="AC33" i="6"/>
  <c r="AD33" i="6"/>
  <c r="L33" i="6"/>
  <c r="AE33" i="6"/>
  <c r="AF33" i="6"/>
  <c r="T33" i="6"/>
  <c r="AG33" i="6"/>
  <c r="AH33" i="6"/>
  <c r="V33" i="6"/>
  <c r="I33" i="6"/>
  <c r="X33" i="6"/>
  <c r="N33" i="6"/>
  <c r="K33" i="6"/>
  <c r="E33" i="6"/>
  <c r="F33" i="6"/>
  <c r="H33" i="6"/>
  <c r="U33" i="6"/>
  <c r="Q33" i="6"/>
  <c r="R33" i="6"/>
  <c r="M33" i="6"/>
  <c r="S33" i="6"/>
  <c r="Y33" i="6"/>
  <c r="Z33" i="6"/>
  <c r="J33" i="6"/>
  <c r="AA33" i="6"/>
  <c r="D33" i="6"/>
  <c r="AF3" i="6"/>
  <c r="U3" i="6"/>
  <c r="L3" i="6"/>
  <c r="G3" i="6"/>
  <c r="M3" i="6"/>
  <c r="AH3" i="6"/>
  <c r="AG3" i="6"/>
  <c r="Y3" i="6"/>
  <c r="AE3" i="6"/>
  <c r="AD3" i="6"/>
  <c r="AC3" i="6"/>
  <c r="AB3" i="6"/>
  <c r="AA3" i="6"/>
  <c r="Z3" i="6"/>
  <c r="N3" i="6"/>
  <c r="X3" i="6"/>
  <c r="O3" i="6"/>
  <c r="I3" i="6"/>
  <c r="F3" i="6"/>
  <c r="P3" i="6"/>
  <c r="Q3" i="6"/>
  <c r="R3" i="6"/>
  <c r="H3" i="6"/>
  <c r="S3" i="6"/>
  <c r="T3" i="6"/>
  <c r="V3" i="6"/>
  <c r="W3" i="6"/>
  <c r="J3" i="6"/>
  <c r="K3" i="6"/>
  <c r="D3" i="6"/>
  <c r="E3" i="6"/>
  <c r="AH34" i="5"/>
  <c r="B4" i="7" s="1"/>
  <c r="AI32" i="6"/>
  <c r="D50" i="7" s="1"/>
  <c r="AI33" i="6"/>
  <c r="D51" i="7" s="1"/>
  <c r="AI27" i="6"/>
  <c r="D45" i="7" s="1"/>
  <c r="AI10" i="6"/>
  <c r="D28" i="7" s="1"/>
  <c r="B7" i="9" l="1"/>
  <c r="F12" i="9"/>
  <c r="E17" i="9"/>
  <c r="M112" i="10"/>
  <c r="M114" i="10"/>
  <c r="M125" i="10"/>
  <c r="M118" i="10"/>
  <c r="M196" i="10"/>
  <c r="M119" i="10"/>
  <c r="M37" i="10"/>
  <c r="M40" i="10"/>
  <c r="M205" i="10"/>
  <c r="M146" i="10"/>
  <c r="M30" i="10"/>
  <c r="M171" i="10"/>
  <c r="M187" i="10"/>
  <c r="M186" i="10"/>
  <c r="M189" i="10"/>
  <c r="M184" i="10"/>
  <c r="M185" i="10"/>
  <c r="M179" i="10"/>
  <c r="M123" i="10"/>
  <c r="M180" i="10"/>
  <c r="M124" i="10"/>
  <c r="M120" i="10"/>
  <c r="M198" i="10"/>
  <c r="M200" i="10"/>
  <c r="M122" i="10"/>
  <c r="M117" i="10"/>
  <c r="M41" i="10"/>
  <c r="M33" i="10"/>
  <c r="M32" i="10"/>
  <c r="M31" i="10"/>
  <c r="M29" i="10"/>
  <c r="M28" i="10"/>
  <c r="M38" i="10"/>
  <c r="M36" i="10"/>
  <c r="M111" i="10"/>
  <c r="M143" i="10"/>
  <c r="M74" i="10"/>
  <c r="M121" i="10"/>
  <c r="M192" i="10"/>
  <c r="M190" i="10"/>
  <c r="M191" i="10"/>
  <c r="M93" i="10"/>
  <c r="M144" i="10"/>
  <c r="M139" i="10"/>
  <c r="M73" i="10"/>
  <c r="M58" i="10"/>
  <c r="M92" i="10"/>
  <c r="M126" i="10"/>
  <c r="M75" i="10"/>
  <c r="M26" i="10"/>
  <c r="M207" i="10"/>
  <c r="M159" i="10"/>
  <c r="M140" i="10"/>
  <c r="M56" i="10"/>
  <c r="M91" i="10"/>
  <c r="M53" i="10"/>
  <c r="M137" i="10"/>
  <c r="M89" i="10"/>
  <c r="M50" i="10"/>
  <c r="M133" i="10"/>
  <c r="M135" i="10"/>
  <c r="M59" i="10"/>
  <c r="M14" i="10"/>
  <c r="M77" i="10"/>
  <c r="M129" i="10"/>
  <c r="M80" i="10"/>
  <c r="M48" i="10"/>
  <c r="M131" i="10"/>
  <c r="M99" i="10"/>
  <c r="M86" i="10"/>
  <c r="M18" i="10"/>
  <c r="M173" i="10"/>
  <c r="M68" i="10"/>
  <c r="M51" i="10"/>
  <c r="M134" i="10"/>
  <c r="M102" i="10"/>
  <c r="M195" i="10"/>
  <c r="M153" i="10"/>
  <c r="M52" i="10"/>
  <c r="M87" i="10"/>
  <c r="M154" i="10"/>
  <c r="M69" i="10"/>
  <c r="M193" i="10"/>
  <c r="M27" i="10"/>
  <c r="M42" i="10"/>
  <c r="M60" i="10"/>
  <c r="M78" i="10"/>
  <c r="M15" i="10"/>
  <c r="M148" i="10"/>
  <c r="M130" i="10"/>
  <c r="M82" i="10"/>
  <c r="M49" i="10"/>
  <c r="M100" i="10"/>
  <c r="M115" i="10"/>
  <c r="M116" i="10"/>
  <c r="M57" i="10"/>
  <c r="M202" i="10"/>
  <c r="M141" i="10"/>
  <c r="M107" i="10"/>
  <c r="M162" i="10"/>
  <c r="M20" i="10"/>
  <c r="M136" i="10"/>
  <c r="M21" i="10"/>
  <c r="M54" i="10"/>
  <c r="M71" i="10"/>
  <c r="M158" i="10"/>
  <c r="M85" i="10"/>
  <c r="M95" i="10"/>
  <c r="M127" i="10"/>
  <c r="M44" i="10"/>
  <c r="M45" i="10"/>
  <c r="M113" i="10"/>
  <c r="M149" i="10"/>
  <c r="M65" i="10"/>
  <c r="M108" i="10"/>
  <c r="M164" i="10"/>
  <c r="M178" i="10"/>
  <c r="M24" i="10"/>
  <c r="M204" i="10"/>
  <c r="M155" i="10"/>
  <c r="M156" i="10"/>
  <c r="M22" i="10"/>
  <c r="M67" i="10"/>
  <c r="M132" i="10"/>
  <c r="M110" i="10"/>
  <c r="M145" i="10"/>
  <c r="M96" i="10"/>
  <c r="M61" i="10"/>
  <c r="M188" i="10"/>
  <c r="M167" i="10"/>
  <c r="M63" i="10"/>
  <c r="M47" i="10"/>
  <c r="M163" i="10"/>
  <c r="M94" i="10"/>
  <c r="M23" i="10"/>
  <c r="M203" i="10"/>
  <c r="M72" i="10"/>
  <c r="M175" i="10"/>
  <c r="M176" i="10"/>
  <c r="M55" i="10"/>
  <c r="M194" i="10"/>
  <c r="M101" i="10"/>
  <c r="M174" i="10"/>
  <c r="M151" i="10"/>
  <c r="M76" i="10"/>
  <c r="M166" i="10"/>
  <c r="M147" i="10"/>
  <c r="M62" i="10"/>
  <c r="M16" i="10"/>
  <c r="M168" i="10"/>
  <c r="M98" i="10"/>
  <c r="M150" i="10"/>
  <c r="M66" i="10"/>
  <c r="M109" i="10"/>
  <c r="M106" i="10"/>
  <c r="M161" i="10"/>
  <c r="M181" i="10"/>
  <c r="M142" i="10"/>
  <c r="M25" i="10"/>
  <c r="M88" i="10"/>
  <c r="M104" i="10"/>
  <c r="M70" i="10"/>
  <c r="M199" i="10"/>
  <c r="M138" i="10"/>
  <c r="M90" i="10"/>
  <c r="M152" i="10"/>
  <c r="M17" i="10"/>
  <c r="M19" i="10"/>
  <c r="M165" i="10"/>
  <c r="M43" i="10"/>
  <c r="M128" i="10"/>
  <c r="M79" i="10"/>
  <c r="M97" i="10"/>
  <c r="M81" i="10"/>
  <c r="M64" i="10"/>
  <c r="M83" i="10"/>
  <c r="M169" i="10"/>
  <c r="M84" i="10"/>
  <c r="D24" i="4"/>
  <c r="M299" i="10"/>
  <c r="D25" i="4"/>
  <c r="M308" i="10"/>
  <c r="D26" i="4"/>
  <c r="M315" i="10"/>
  <c r="D22" i="4"/>
  <c r="M287" i="10"/>
  <c r="D21" i="4"/>
  <c r="M274" i="10"/>
  <c r="M360" i="10"/>
  <c r="D31" i="4"/>
  <c r="M368" i="10"/>
  <c r="D32" i="4"/>
  <c r="M340" i="10"/>
  <c r="D29" i="4"/>
  <c r="M352" i="10"/>
  <c r="D30" i="4"/>
  <c r="M330" i="10"/>
  <c r="D28" i="4"/>
  <c r="M324" i="10"/>
  <c r="D27" i="4"/>
  <c r="E23" i="4"/>
  <c r="F23" i="4" s="1"/>
  <c r="E42" i="7"/>
  <c r="D20" i="4"/>
  <c r="M268" i="10"/>
  <c r="D16" i="4"/>
  <c r="E35" i="7" s="1"/>
  <c r="AI13" i="6"/>
  <c r="D31" i="7" s="1"/>
  <c r="AI24" i="6"/>
  <c r="D42" i="7" s="1"/>
  <c r="AI28" i="6"/>
  <c r="D46" i="7" s="1"/>
  <c r="D18" i="4"/>
  <c r="D19" i="4"/>
  <c r="D13" i="4"/>
  <c r="D17" i="4"/>
  <c r="D15" i="4"/>
  <c r="D12" i="4"/>
  <c r="D2" i="4"/>
  <c r="D10" i="4"/>
  <c r="E16" i="4"/>
  <c r="F16" i="4" s="1"/>
  <c r="D14" i="4"/>
  <c r="D11" i="4"/>
  <c r="D9" i="4"/>
  <c r="D8" i="4"/>
  <c r="D6" i="4"/>
  <c r="D3" i="4"/>
  <c r="D7" i="4"/>
  <c r="AI9" i="6"/>
  <c r="D27" i="7" s="1"/>
  <c r="AI14" i="6"/>
  <c r="D32" i="7" s="1"/>
  <c r="AI15" i="6"/>
  <c r="D33" i="7" s="1"/>
  <c r="AI29" i="6"/>
  <c r="D47" i="7" s="1"/>
  <c r="D5" i="4"/>
  <c r="D4" i="4"/>
  <c r="AI16" i="6"/>
  <c r="D34" i="7" s="1"/>
  <c r="AI17" i="6"/>
  <c r="D35" i="7" s="1"/>
  <c r="AI20" i="6"/>
  <c r="D38" i="7" s="1"/>
  <c r="AI21" i="6"/>
  <c r="D39" i="7" s="1"/>
  <c r="AI25" i="6"/>
  <c r="D43" i="7" s="1"/>
  <c r="AI30" i="6"/>
  <c r="D48" i="7" s="1"/>
  <c r="AI31" i="6"/>
  <c r="D49" i="7" s="1"/>
  <c r="AI5" i="6"/>
  <c r="D23" i="7" s="1"/>
  <c r="Z35" i="6"/>
  <c r="U35" i="6"/>
  <c r="V35" i="6"/>
  <c r="AA35" i="6"/>
  <c r="S35" i="6"/>
  <c r="Y35" i="6"/>
  <c r="T35" i="6"/>
  <c r="P35" i="6"/>
  <c r="X35" i="6"/>
  <c r="Q35" i="6"/>
  <c r="R35" i="6"/>
  <c r="J35" i="6"/>
  <c r="AI8" i="6"/>
  <c r="D26" i="7" s="1"/>
  <c r="N35" i="6"/>
  <c r="AI11" i="6"/>
  <c r="D29" i="7" s="1"/>
  <c r="AI12" i="6"/>
  <c r="D30" i="7" s="1"/>
  <c r="AE35" i="6"/>
  <c r="K35" i="6"/>
  <c r="AG35" i="6"/>
  <c r="AB35" i="6"/>
  <c r="AI22" i="6"/>
  <c r="D40" i="7" s="1"/>
  <c r="AI4" i="6"/>
  <c r="D22" i="7" s="1"/>
  <c r="AI6" i="6"/>
  <c r="D24" i="7" s="1"/>
  <c r="AH35" i="6"/>
  <c r="AI26" i="6"/>
  <c r="D44" i="7" s="1"/>
  <c r="AI7" i="6"/>
  <c r="D25" i="7" s="1"/>
  <c r="L35" i="6"/>
  <c r="AI3" i="6"/>
  <c r="D21" i="7" s="1"/>
  <c r="D35" i="6"/>
  <c r="AC35" i="6"/>
  <c r="W35" i="6"/>
  <c r="AD35" i="6"/>
  <c r="AF35" i="6"/>
  <c r="O35" i="6"/>
  <c r="I35" i="6"/>
  <c r="G35" i="6"/>
  <c r="M35" i="6"/>
  <c r="F35" i="6"/>
  <c r="H35" i="6"/>
  <c r="E35" i="6"/>
  <c r="E24" i="4" l="1"/>
  <c r="F24" i="4" s="1"/>
  <c r="E43" i="7"/>
  <c r="F43" i="7" s="1"/>
  <c r="G43" i="7" s="1"/>
  <c r="E25" i="4"/>
  <c r="F25" i="4" s="1"/>
  <c r="E44" i="7"/>
  <c r="F44" i="7" s="1"/>
  <c r="G44" i="7" s="1"/>
  <c r="E26" i="4"/>
  <c r="F26" i="4" s="1"/>
  <c r="E45" i="7"/>
  <c r="F45" i="7" s="1"/>
  <c r="G45" i="7" s="1"/>
  <c r="E22" i="4"/>
  <c r="F22" i="4" s="1"/>
  <c r="E41" i="7"/>
  <c r="F41" i="7" s="1"/>
  <c r="G41" i="7" s="1"/>
  <c r="E21" i="4"/>
  <c r="F21" i="4" s="1"/>
  <c r="E40" i="7"/>
  <c r="F40" i="7" s="1"/>
  <c r="G40" i="7" s="1"/>
  <c r="E50" i="7"/>
  <c r="F50" i="7" s="1"/>
  <c r="G50" i="7" s="1"/>
  <c r="E31" i="4"/>
  <c r="F31" i="4" s="1"/>
  <c r="E51" i="7"/>
  <c r="F51" i="7" s="1"/>
  <c r="G51" i="7" s="1"/>
  <c r="E32" i="4"/>
  <c r="F32" i="4" s="1"/>
  <c r="E48" i="7"/>
  <c r="F48" i="7" s="1"/>
  <c r="G48" i="7" s="1"/>
  <c r="E29" i="4"/>
  <c r="F29" i="4" s="1"/>
  <c r="E49" i="7"/>
  <c r="F49" i="7" s="1"/>
  <c r="G49" i="7" s="1"/>
  <c r="E30" i="4"/>
  <c r="F30" i="4" s="1"/>
  <c r="E47" i="7"/>
  <c r="F47" i="7" s="1"/>
  <c r="G47" i="7" s="1"/>
  <c r="E28" i="4"/>
  <c r="F28" i="4" s="1"/>
  <c r="E46" i="7"/>
  <c r="F46" i="7" s="1"/>
  <c r="G46" i="7" s="1"/>
  <c r="E27" i="4"/>
  <c r="F27" i="4" s="1"/>
  <c r="E39" i="7"/>
  <c r="F39" i="7" s="1"/>
  <c r="G39" i="7" s="1"/>
  <c r="E20" i="4"/>
  <c r="F20" i="4" s="1"/>
  <c r="E18" i="4"/>
  <c r="F18" i="4" s="1"/>
  <c r="E37" i="7"/>
  <c r="F37" i="7" s="1"/>
  <c r="G37" i="7" s="1"/>
  <c r="E19" i="4"/>
  <c r="F19" i="4" s="1"/>
  <c r="E38" i="7"/>
  <c r="F38" i="7" s="1"/>
  <c r="G38" i="7" s="1"/>
  <c r="E13" i="4"/>
  <c r="F13" i="4" s="1"/>
  <c r="E32" i="7"/>
  <c r="E17" i="4"/>
  <c r="F17" i="4" s="1"/>
  <c r="E36" i="7"/>
  <c r="F36" i="7" s="1"/>
  <c r="G36" i="7" s="1"/>
  <c r="E15" i="4"/>
  <c r="F15" i="4" s="1"/>
  <c r="E34" i="7"/>
  <c r="E12" i="4"/>
  <c r="F12" i="4" s="1"/>
  <c r="E31" i="7"/>
  <c r="E2" i="4"/>
  <c r="F2" i="4" s="1"/>
  <c r="E21" i="7"/>
  <c r="E10" i="4"/>
  <c r="F10" i="4" s="1"/>
  <c r="E29" i="7"/>
  <c r="E14" i="4"/>
  <c r="F14" i="4" s="1"/>
  <c r="E33" i="7"/>
  <c r="E11" i="4"/>
  <c r="F11" i="4" s="1"/>
  <c r="E30" i="7"/>
  <c r="E9" i="4"/>
  <c r="F9" i="4" s="1"/>
  <c r="E28" i="7"/>
  <c r="E8" i="4"/>
  <c r="F8" i="4" s="1"/>
  <c r="E27" i="7"/>
  <c r="E6" i="4"/>
  <c r="F6" i="4" s="1"/>
  <c r="E25" i="7"/>
  <c r="E3" i="4"/>
  <c r="F3" i="4" s="1"/>
  <c r="E22" i="7"/>
  <c r="F22" i="7" s="1"/>
  <c r="G22" i="7" s="1"/>
  <c r="E7" i="4"/>
  <c r="F7" i="4" s="1"/>
  <c r="E26" i="7"/>
  <c r="E5" i="4"/>
  <c r="F5" i="4" s="1"/>
  <c r="E24" i="7"/>
  <c r="E4" i="4"/>
  <c r="F4" i="4" s="1"/>
  <c r="E23" i="7"/>
  <c r="B13" i="7"/>
  <c r="B15" i="7"/>
  <c r="F42" i="7"/>
  <c r="G42" i="7" s="1"/>
  <c r="B14" i="7"/>
  <c r="B16" i="7"/>
  <c r="AI34" i="6"/>
  <c r="B5" i="7" s="1"/>
  <c r="D52" i="7" l="1"/>
  <c r="F21" i="7"/>
  <c r="G21" i="7" s="1"/>
  <c r="F23" i="7" l="1"/>
  <c r="G23" i="7" s="1"/>
  <c r="F27" i="7"/>
  <c r="G27" i="7" s="1"/>
  <c r="F30" i="7"/>
  <c r="G30" i="7" s="1"/>
  <c r="F31" i="7"/>
  <c r="G31" i="7" s="1"/>
  <c r="F26" i="7"/>
  <c r="G26" i="7" s="1"/>
  <c r="F35" i="7"/>
  <c r="G35" i="7" s="1"/>
  <c r="F34" i="7"/>
  <c r="G34" i="7" s="1"/>
  <c r="F29" i="7"/>
  <c r="G29" i="7" s="1"/>
  <c r="F25" i="7"/>
  <c r="G25" i="7" s="1"/>
  <c r="F28" i="7"/>
  <c r="G28" i="7" s="1"/>
  <c r="F24" i="7" l="1"/>
  <c r="G24" i="7" s="1"/>
  <c r="B6" i="7"/>
  <c r="F32" i="7" l="1"/>
  <c r="G32" i="7" s="1"/>
  <c r="B7" i="7"/>
  <c r="B8" i="7" s="1"/>
  <c r="C15" i="7"/>
  <c r="C13" i="7"/>
  <c r="C14" i="7"/>
  <c r="C16" i="7"/>
  <c r="F33" i="7" l="1"/>
  <c r="E52" i="7"/>
  <c r="G33" i="7" l="1"/>
  <c r="F52" i="7"/>
  <c r="G52" i="7" s="1"/>
</calcChain>
</file>

<file path=xl/sharedStrings.xml><?xml version="1.0" encoding="utf-8"?>
<sst xmlns="http://schemas.openxmlformats.org/spreadsheetml/2006/main" count="2309" uniqueCount="373">
  <si>
    <t>SATUAN</t>
  </si>
  <si>
    <t>TAHU</t>
  </si>
  <si>
    <t>KETERANGAN</t>
  </si>
  <si>
    <t>MINYAK</t>
  </si>
  <si>
    <t>pcs</t>
  </si>
  <si>
    <t>gram</t>
  </si>
  <si>
    <t>ml</t>
  </si>
  <si>
    <t>PRODUK</t>
  </si>
  <si>
    <t>SMOKE LIQUID</t>
  </si>
  <si>
    <t>NILAI</t>
  </si>
  <si>
    <t>AIR MINERAL 600 ML</t>
  </si>
  <si>
    <t>AYAM POTONG</t>
  </si>
  <si>
    <t>BAKING POWDER</t>
  </si>
  <si>
    <t>BAKING SODA</t>
  </si>
  <si>
    <t>BAWANG BOMBAI</t>
  </si>
  <si>
    <t>BAWANG MERAH</t>
  </si>
  <si>
    <t>BAWANG PUTIH</t>
  </si>
  <si>
    <t>BERAS</t>
  </si>
  <si>
    <t>BUMBU MARINASI</t>
  </si>
  <si>
    <t>CABAI HIJAU BESAR</t>
  </si>
  <si>
    <t>CABAI KERING</t>
  </si>
  <si>
    <t>CABAI LALAP</t>
  </si>
  <si>
    <t>CABAI MERAH BESAR</t>
  </si>
  <si>
    <t>CABAI RAWIT</t>
  </si>
  <si>
    <t>CUP 16 OZ</t>
  </si>
  <si>
    <t>CUP 18 OZ OVAL</t>
  </si>
  <si>
    <t>CUP 35 ML</t>
  </si>
  <si>
    <t>CUP 60 ML</t>
  </si>
  <si>
    <t>ES KRISTAL</t>
  </si>
  <si>
    <t>FRENCH FRIES</t>
  </si>
  <si>
    <t>FULL CREAM BM ECHO</t>
  </si>
  <si>
    <t>GARAM HALUS</t>
  </si>
  <si>
    <t>GULA MERAH</t>
  </si>
  <si>
    <t>GULA PASIR</t>
  </si>
  <si>
    <t>HANDGLOVE</t>
  </si>
  <si>
    <t>JAMUR TIRAM</t>
  </si>
  <si>
    <t>KEJU CHEDDAR</t>
  </si>
  <si>
    <t>KENTAL MANIS</t>
  </si>
  <si>
    <t>KRIMER</t>
  </si>
  <si>
    <t>LPG 3KG</t>
  </si>
  <si>
    <t>LUNCHBOX L</t>
  </si>
  <si>
    <t>LUNCHBOX M</t>
  </si>
  <si>
    <t>LUNCHBOX S</t>
  </si>
  <si>
    <t>LUNCHBOX XS</t>
  </si>
  <si>
    <t>MAXTEA LEMON</t>
  </si>
  <si>
    <t>MILKSHAKE VARIAN POWDER</t>
  </si>
  <si>
    <t>MILO</t>
  </si>
  <si>
    <t>MSG</t>
  </si>
  <si>
    <t>NANAS</t>
  </si>
  <si>
    <t>PAPER BAG BESAR</t>
  </si>
  <si>
    <t>PAPER BAG KECIL</t>
  </si>
  <si>
    <t>PAPER RICE</t>
  </si>
  <si>
    <t>PLASTIK SEALER CUP</t>
  </si>
  <si>
    <t>PLASTIK UK. 15</t>
  </si>
  <si>
    <t>PLASTIK UK. 21</t>
  </si>
  <si>
    <t>PLASTIK UK. 24</t>
  </si>
  <si>
    <t>PLASTIK UK. 28</t>
  </si>
  <si>
    <t>ROYCO AYAM</t>
  </si>
  <si>
    <t>SAUS MAYONAISE</t>
  </si>
  <si>
    <t>SAUS PASTA BBQ</t>
  </si>
  <si>
    <t>SAUS SACHET SAMBAL</t>
  </si>
  <si>
    <t>SAUS SACHET TOMAT</t>
  </si>
  <si>
    <t>SAUS TOMAT POUCH</t>
  </si>
  <si>
    <t>SEDOTAN</t>
  </si>
  <si>
    <t>STICKER BRANDING</t>
  </si>
  <si>
    <t>STYROFOAM BURGER</t>
  </si>
  <si>
    <t>SUSU UHT</t>
  </si>
  <si>
    <t>TEH</t>
  </si>
  <si>
    <t>TEPUNG TERIGU</t>
  </si>
  <si>
    <t>TIMUN</t>
  </si>
  <si>
    <t>TOMAT</t>
  </si>
  <si>
    <t>ULTRA BBQ POWDER</t>
  </si>
  <si>
    <t>ULTRA KEJU POWDER</t>
  </si>
  <si>
    <t>3kg</t>
  </si>
  <si>
    <t>1 pack</t>
  </si>
  <si>
    <t>Bumbu tepung</t>
  </si>
  <si>
    <t>lembar</t>
  </si>
  <si>
    <t>AYAM CRISPY ORIGINAL</t>
  </si>
  <si>
    <t>AYAM CRISPY ORIGINAL + NASI</t>
  </si>
  <si>
    <t>AYAM GEPREK S. BAWANG</t>
  </si>
  <si>
    <t>AYAM GEPREK S. BAWANG + NASI</t>
  </si>
  <si>
    <t>AYAM GEPREK S. IJO</t>
  </si>
  <si>
    <t>AYAM GEPREK S. IJO + NASI</t>
  </si>
  <si>
    <t>AYAM GEPREK S. MATAH</t>
  </si>
  <si>
    <t>AYAM GEPREK S. MATAH + NASI</t>
  </si>
  <si>
    <t>AYAM SAUS BBQ</t>
  </si>
  <si>
    <t>AYAM SAUS BBQ + NASI</t>
  </si>
  <si>
    <t>AYAM SAUS BROCHEESE</t>
  </si>
  <si>
    <t>AYAM SAUS BROCHEESE + NASI</t>
  </si>
  <si>
    <t>AYAM SAUS CREAMY CHEESE</t>
  </si>
  <si>
    <t>AYAM SAUS CREAMY CHEESE + NASI</t>
  </si>
  <si>
    <t>ES LEMON TEA</t>
  </si>
  <si>
    <t>ES MILO</t>
  </si>
  <si>
    <t>ES TEA</t>
  </si>
  <si>
    <t>JAMUR CRISPY</t>
  </si>
  <si>
    <t>MILKSHAKE</t>
  </si>
  <si>
    <t>NASI PUTIH</t>
  </si>
  <si>
    <t>ONION RINGS</t>
  </si>
  <si>
    <t>SAMBAL BAWANG</t>
  </si>
  <si>
    <t>SAMBAL IJO</t>
  </si>
  <si>
    <t>SAMBAL MATAH</t>
  </si>
  <si>
    <t>SAUS BBQ</t>
  </si>
  <si>
    <t>SAUS BROCHEESE</t>
  </si>
  <si>
    <t>SAUS CREAMY CHEESE</t>
  </si>
  <si>
    <t>TAHU CRISPY</t>
  </si>
  <si>
    <t>TOPPING KEJU</t>
  </si>
  <si>
    <t>Lee Mineral 1 Karton</t>
  </si>
  <si>
    <t>1 pac</t>
  </si>
  <si>
    <t>1 Pack Merk Camar (130pcs), Merk Ori (86pcs)</t>
  </si>
  <si>
    <t>1 Pack Merk Camar (66pcs), Merk Idola (46pcs)</t>
  </si>
  <si>
    <t>porsi</t>
  </si>
  <si>
    <t>1 Pack Ukuran 6mm Merk Mino</t>
  </si>
  <si>
    <t>KODE</t>
  </si>
  <si>
    <t>RM-001</t>
  </si>
  <si>
    <t>RM-002</t>
  </si>
  <si>
    <t>ING-001</t>
  </si>
  <si>
    <t>ING-002</t>
  </si>
  <si>
    <t>RM-003</t>
  </si>
  <si>
    <t>RM-004</t>
  </si>
  <si>
    <t>RM-005</t>
  </si>
  <si>
    <t>RM-006</t>
  </si>
  <si>
    <t>ING-003</t>
  </si>
  <si>
    <t>RM-007</t>
  </si>
  <si>
    <t>RM-008</t>
  </si>
  <si>
    <t>RM-009</t>
  </si>
  <si>
    <t>RM-010</t>
  </si>
  <si>
    <t>RM-011</t>
  </si>
  <si>
    <t>PKG-001</t>
  </si>
  <si>
    <t>PKG-002</t>
  </si>
  <si>
    <t>PKG-003</t>
  </si>
  <si>
    <t>PKG-004</t>
  </si>
  <si>
    <t>ING-004</t>
  </si>
  <si>
    <t>RM-012</t>
  </si>
  <si>
    <t>ING-005</t>
  </si>
  <si>
    <t>ING-006</t>
  </si>
  <si>
    <t>ING-007</t>
  </si>
  <si>
    <t>ING-008</t>
  </si>
  <si>
    <t>PKG-005</t>
  </si>
  <si>
    <t>RM-013</t>
  </si>
  <si>
    <t>ING-009</t>
  </si>
  <si>
    <t>ING-010</t>
  </si>
  <si>
    <t>ING-011</t>
  </si>
  <si>
    <t>PKG-006</t>
  </si>
  <si>
    <t>PKG-007</t>
  </si>
  <si>
    <t>PKG-008</t>
  </si>
  <si>
    <t>PKG-009</t>
  </si>
  <si>
    <t>PKG-010</t>
  </si>
  <si>
    <t>ING-012</t>
  </si>
  <si>
    <t>ING-013</t>
  </si>
  <si>
    <t>ING-014</t>
  </si>
  <si>
    <t>ING-015</t>
  </si>
  <si>
    <t>ING-016</t>
  </si>
  <si>
    <t>RM-014</t>
  </si>
  <si>
    <t>PKG-011</t>
  </si>
  <si>
    <t>PKG-012</t>
  </si>
  <si>
    <t>PKG-013</t>
  </si>
  <si>
    <t>PKG-014</t>
  </si>
  <si>
    <t>PKG-015</t>
  </si>
  <si>
    <t>PKG-016</t>
  </si>
  <si>
    <t>PKG-017</t>
  </si>
  <si>
    <t>PKG-018</t>
  </si>
  <si>
    <t>ING-017</t>
  </si>
  <si>
    <t>ING-018</t>
  </si>
  <si>
    <t>ING-019</t>
  </si>
  <si>
    <t>ING-020</t>
  </si>
  <si>
    <t>ING-021</t>
  </si>
  <si>
    <t>ING-022</t>
  </si>
  <si>
    <t>PKG-019</t>
  </si>
  <si>
    <t>ING-023</t>
  </si>
  <si>
    <t>PKG-020</t>
  </si>
  <si>
    <t>PKG-021</t>
  </si>
  <si>
    <t>ING-024</t>
  </si>
  <si>
    <t>RM-015</t>
  </si>
  <si>
    <t>ING-025</t>
  </si>
  <si>
    <t>ING-026</t>
  </si>
  <si>
    <t>RM-016</t>
  </si>
  <si>
    <t>RM-017</t>
  </si>
  <si>
    <t>ING-027</t>
  </si>
  <si>
    <t>ING-028</t>
  </si>
  <si>
    <t>MAIN-001</t>
  </si>
  <si>
    <t>COMM-001</t>
  </si>
  <si>
    <t>MAIN-002</t>
  </si>
  <si>
    <t>COMM-002</t>
  </si>
  <si>
    <t>MAIN-003</t>
  </si>
  <si>
    <t>COMM-003</t>
  </si>
  <si>
    <t>MAIN-004</t>
  </si>
  <si>
    <t>COMM-004</t>
  </si>
  <si>
    <t>MAIN-005</t>
  </si>
  <si>
    <t>COMM-005</t>
  </si>
  <si>
    <t>MAIN-006</t>
  </si>
  <si>
    <t>COMM-006</t>
  </si>
  <si>
    <t>MAIN-007</t>
  </si>
  <si>
    <t>COMM-007</t>
  </si>
  <si>
    <t>BEV-002</t>
  </si>
  <si>
    <t>BEV-003</t>
  </si>
  <si>
    <t>BEV-004</t>
  </si>
  <si>
    <t>SNK-001</t>
  </si>
  <si>
    <t>SNK-002</t>
  </si>
  <si>
    <t>BEV-005</t>
  </si>
  <si>
    <t>ADD-001</t>
  </si>
  <si>
    <t>SNK-003</t>
  </si>
  <si>
    <t>ADD-002</t>
  </si>
  <si>
    <t>ADD-003</t>
  </si>
  <si>
    <t>ADD-004</t>
  </si>
  <si>
    <t>ADD-005</t>
  </si>
  <si>
    <t>ADD-006</t>
  </si>
  <si>
    <t>ADD-007</t>
  </si>
  <si>
    <t>SNK-004</t>
  </si>
  <si>
    <t>ADD-008</t>
  </si>
  <si>
    <t>KERTAS PRINTER</t>
  </si>
  <si>
    <t>PKG-022</t>
  </si>
  <si>
    <t>KOMISI ONLINE (%)</t>
  </si>
  <si>
    <t>PROMO MERCHANT (%)</t>
  </si>
  <si>
    <t>HARGA CORET ONLINE</t>
  </si>
  <si>
    <t>HARGA SETELAH PROMO</t>
  </si>
  <si>
    <t>HARGA JUAL</t>
  </si>
  <si>
    <t>1 Lembar A4 (77pcs stiker 4x4)</t>
  </si>
  <si>
    <t>1 Slop isi 50pcs</t>
  </si>
  <si>
    <t>RM-018</t>
  </si>
  <si>
    <t>SEREH</t>
  </si>
  <si>
    <t>RM-019</t>
  </si>
  <si>
    <t>DAUN JERUK</t>
  </si>
  <si>
    <t>cm</t>
  </si>
  <si>
    <t>1 roll = 7 meter merek Shark (15cm/transaksi)</t>
  </si>
  <si>
    <t>ING-029</t>
  </si>
  <si>
    <t>SUSU MILKU UHT</t>
  </si>
  <si>
    <t>ING-030</t>
  </si>
  <si>
    <t>OMURA BLEND</t>
  </si>
  <si>
    <t>potong</t>
  </si>
  <si>
    <t>TANGGAL</t>
  </si>
  <si>
    <t>TOTAL PENJUALAN HARIAN:</t>
  </si>
  <si>
    <t>TOTAL OMZET HARIAN:</t>
  </si>
  <si>
    <t>TOTAL OMZET BULANAN</t>
  </si>
  <si>
    <t>TOTAL PENJUALAN BULANAN</t>
  </si>
  <si>
    <t>Total Porsi Terjual</t>
  </si>
  <si>
    <t>Total Omzet Kotor (Rp)</t>
  </si>
  <si>
    <t>Total Modal Bahan / HPP (Rp)</t>
  </si>
  <si>
    <t>Estimasi Laba Kotor (Rp)</t>
  </si>
  <si>
    <t>Margin Laba Kotor (%)</t>
  </si>
  <si>
    <t>MATRIK KINERJA BULANAN</t>
  </si>
  <si>
    <t>RINGKASAN KINERJA UTAMA (KPI DASHBOARD)</t>
  </si>
  <si>
    <t>ANALISIS PEFORMA &amp; PROFITABILITAS PER PRODUK</t>
  </si>
  <si>
    <t>TOTAL QTY TERJUAL</t>
  </si>
  <si>
    <t>TOTAL OMZET (RP)</t>
  </si>
  <si>
    <t>TOTAL HPP TERJUAL (RP)</t>
  </si>
  <si>
    <t>ESTIMASI LABA KOTOR (RP)</t>
  </si>
  <si>
    <t>MARGIN LABA (%)</t>
  </si>
  <si>
    <t>TOTAL</t>
  </si>
  <si>
    <t>GRAFIK &amp; TREN MINGGUAN</t>
  </si>
  <si>
    <t>PERIODE</t>
  </si>
  <si>
    <t>OMZET (RP)</t>
  </si>
  <si>
    <t>LABA KOTOR (RP)</t>
  </si>
  <si>
    <t>Minggu 1 (Tgl 1 - 7)</t>
  </si>
  <si>
    <t>Minggu 2 (Tgl 8 - 14)</t>
  </si>
  <si>
    <t>Minggu 3 (Tgl 15 - 21)</t>
  </si>
  <si>
    <t>Minggu 4 (Tgl 22 - 31)</t>
  </si>
  <si>
    <t>BAHAN UTAMA</t>
  </si>
  <si>
    <t>BAHAN MINUMAN</t>
  </si>
  <si>
    <t>Snack Onion Ring, Bumbu Saus BBQ</t>
  </si>
  <si>
    <t>Fried Chicken (80-85g/potong karkas)</t>
  </si>
  <si>
    <t>Nasi</t>
  </si>
  <si>
    <t>Bumbu Fried Chicken (27g / 1kg ayam)</t>
  </si>
  <si>
    <t>Bahan Sambal bawang, sambal ijo, sambal matah</t>
  </si>
  <si>
    <t>Bahan sambal ijo</t>
  </si>
  <si>
    <t>Bahan Saus BBQ, Brocheese, Creamy Cheese</t>
  </si>
  <si>
    <t>Bahan Sambal Ijo</t>
  </si>
  <si>
    <t>Bahan Sambal Bawang</t>
  </si>
  <si>
    <t>Bahan Sambal Bawang, sambal Matah</t>
  </si>
  <si>
    <t>Cup Minuman</t>
  </si>
  <si>
    <t>Cup Es tea, Es lemon tea, es milo, es milkshake</t>
  </si>
  <si>
    <t>Cup Sambal bawang, sambal ijo</t>
  </si>
  <si>
    <t>Cup Saus BBQ, Brocheese, Creamy Cheese, Sambal Matah</t>
  </si>
  <si>
    <t>Bahan Sambal Matah</t>
  </si>
  <si>
    <t>Es Minuman</t>
  </si>
  <si>
    <t>Snack French Fries</t>
  </si>
  <si>
    <t>Bahan Saus BBQ</t>
  </si>
  <si>
    <t>Bahan Minuman 33g/porsi (50ml juruh)</t>
  </si>
  <si>
    <t>Alat makan &amp; Penepungan Fried Chicken</t>
  </si>
  <si>
    <t>Snack jamur Crispy</t>
  </si>
  <si>
    <t>Bahan Saus Creamy Cheese</t>
  </si>
  <si>
    <t>Bahan Minuman</t>
  </si>
  <si>
    <t>Packing paket ayam + nasi</t>
  </si>
  <si>
    <t>packing ayam geprek, ayam saus</t>
  </si>
  <si>
    <t>Packing snack</t>
  </si>
  <si>
    <t>Bahan Minuman Milo</t>
  </si>
  <si>
    <t>Bahan Minuman lemon Tea</t>
  </si>
  <si>
    <t>Bahan Minuman Milkshake</t>
  </si>
  <si>
    <t>Bahan goreng ayam, snack, sambal</t>
  </si>
  <si>
    <t>Bahan saus BBQ (batch 5 liter)</t>
  </si>
  <si>
    <t>Bahan Minuman Milkshake. 40g/ porsi (+100ml air)</t>
  </si>
  <si>
    <t>Packaging Fried Chicken Original</t>
  </si>
  <si>
    <t>Packaging Nasi</t>
  </si>
  <si>
    <t>Sealer Cup Minuman</t>
  </si>
  <si>
    <t>Bahan Saus</t>
  </si>
  <si>
    <t>Bahan Saus BBQ (batch 5 liter) Merk Mazzoni</t>
  </si>
  <si>
    <t>Saus Ayam Cripsy Original (1 Pack Merk Mazzoni)</t>
  </si>
  <si>
    <t>Bahan Saus BBQ (batch 5 liter) Merk Gourmet</t>
  </si>
  <si>
    <t>Bahan Sambal matah</t>
  </si>
  <si>
    <t>Bahan Saus BBQ (batch 5 liter) -&gt; 10g Liquid Smoke</t>
  </si>
  <si>
    <t>Bahan Minuman Milkshake (1 krak isi 200mlx12pcs)</t>
  </si>
  <si>
    <t>Bahan Saus Keju (batch 2,5 liter) -&gt; 500ml UHT</t>
  </si>
  <si>
    <t>Bahan Snack Tahu Crispy (1 porsi = 8 potong)</t>
  </si>
  <si>
    <t>Minuman Es tea (4 Liter Tea (280ml tea))</t>
  </si>
  <si>
    <t>Bahan Fried Chicken, snack</t>
  </si>
  <si>
    <t>Pelengkap Sambal bawang, sambal matah, sambal ijo</t>
  </si>
  <si>
    <t>Bahan Saus BBQ (pakai 2 sachet = 200g) Merk Ultra</t>
  </si>
  <si>
    <t>Bahan Saus Keju (pakai 2 sachet = 200g) Merk Ultra</t>
  </si>
  <si>
    <t>BUMBU &amp; PELENGKAP</t>
  </si>
  <si>
    <t>KEMASAN &amp; SUPPLIES</t>
  </si>
  <si>
    <t>OVERHEAD / OPERASIONAL</t>
  </si>
  <si>
    <t>RINGKASAN REKONSILIASI MODAL &amp; HPP</t>
  </si>
  <si>
    <t>Stok Awal Bahan Baku (Rp)</t>
  </si>
  <si>
    <t>Total Belanja Bahan Baku (Rp)</t>
  </si>
  <si>
    <t>Total Modal Bahan Baku (Rp)</t>
  </si>
  <si>
    <t>Total HPP Terjual / Pemakaian (Rp)</t>
  </si>
  <si>
    <t>Estimasi Sisa Stok Bahan Baku (Rp)</t>
  </si>
  <si>
    <t>NO NOTA/TOKO</t>
  </si>
  <si>
    <t>KODE BAHAN</t>
  </si>
  <si>
    <t>NAMA BAHAN</t>
  </si>
  <si>
    <t>QTY BELI</t>
  </si>
  <si>
    <t>TOTAL BELANJA (RP)</t>
  </si>
  <si>
    <t>KATEGORI BAHAN</t>
  </si>
  <si>
    <t>TOTAL HPP TERJUAL</t>
  </si>
  <si>
    <t>ESTIMASI SISA STOK / SELISIH</t>
  </si>
  <si>
    <t>STATUS</t>
  </si>
  <si>
    <t>TOTAL KESELURUHAN</t>
  </si>
  <si>
    <t>REKAPITULASI BAHAN BAKU BERDASARKAN KATEGORI</t>
  </si>
  <si>
    <t>TOTAL BELANJA MODAL BULAN INI</t>
  </si>
  <si>
    <t>TOTAL BELANJA MODAL BULAN LALU</t>
  </si>
  <si>
    <t>LOG CATATAN BON BELANJA MODAL BULAN INI (TABEL INPUT NOTA)</t>
  </si>
  <si>
    <t>KIOS SAYUR</t>
  </si>
  <si>
    <t>TOKO PLASTIK</t>
  </si>
  <si>
    <t>LANCAR JAYA</t>
  </si>
  <si>
    <t>BAROKAH</t>
  </si>
  <si>
    <t>KATEGORI HPP</t>
  </si>
  <si>
    <t>KODE KOMPONEN</t>
  </si>
  <si>
    <t>NAMA KOMPONEN</t>
  </si>
  <si>
    <t>KUANTITAS ISI</t>
  </si>
  <si>
    <t>SATUAN ISI</t>
  </si>
  <si>
    <t>HARGA BELI TOTAL</t>
  </si>
  <si>
    <t>HARGA PER SATUAN DASAR</t>
  </si>
  <si>
    <t>KODE PRODUK</t>
  </si>
  <si>
    <t>NAMA PRODUK</t>
  </si>
  <si>
    <t>HARGA JUAL OFFLINE</t>
  </si>
  <si>
    <t>HPP PER UNIT</t>
  </si>
  <si>
    <t>LABA PER UNIT (RP)</t>
  </si>
  <si>
    <t>JENIS KOMPONEN</t>
  </si>
  <si>
    <t>QTY PAKAI</t>
  </si>
  <si>
    <t>SATUAN PAKAI</t>
  </si>
  <si>
    <t>BIAYA PEMAKAIAN</t>
  </si>
  <si>
    <t>STATUS HARGA</t>
  </si>
  <si>
    <t>PRODUK BARU</t>
  </si>
  <si>
    <t>DAFTAR BAHAN</t>
  </si>
  <si>
    <t>DAFTAR PRODUK KOMPONEN</t>
  </si>
  <si>
    <t>BAHAN</t>
  </si>
  <si>
    <t>(TIDAK ADA PRODUK BARU)</t>
  </si>
  <si>
    <t>FORM INPUT HPP PRODUK</t>
  </si>
  <si>
    <t>Pilih produk yang belum memiliki resep tersimpan, lalu pilih komponen dan isi QTY serta SATUAN PAKAI.</t>
  </si>
  <si>
    <t>STATUS PRODUK</t>
  </si>
  <si>
    <t>RINCIAN KOMPONEN PRODUK</t>
  </si>
  <si>
    <t>AKSI FORM</t>
  </si>
  <si>
    <t>PENTING:_x000D_
1. Produk harus terdaftar di MASTER PRODUK sebelum resep dibuat._x000D_
2. Produk hanya dapat disimpan sekali jika resepnya sudah ada di DETAIL HPP._x000D_
3. Pilih komponen dari dropdown, lalu isi qty dan satuan pakai._x000D_
4. Status harga/satuan harus OK sebelum menyimpan resep.</t>
  </si>
  <si>
    <t>Pilih semua komponen dari MASTER BAHAN BAKU. Isi QTY PAKAI dan SATUAN PAKAI untuk setiap komponen. Satuan pakai harus sesuai dengan SATUAN ISI pada master.</t>
  </si>
  <si>
    <t>BEV-000</t>
  </si>
  <si>
    <t>QTY TERJUAL</t>
  </si>
  <si>
    <t>HPP TERJUAL PER KOMPONEN</t>
  </si>
  <si>
    <t>KODE BAHAN (AUTO)</t>
  </si>
  <si>
    <t>NO NOTA/TOKO *</t>
  </si>
  <si>
    <t>AKSI</t>
  </si>
  <si>
    <t xml:space="preserve"> HIDAYAH </t>
  </si>
  <si>
    <t xml:space="preserve"> MATAHARI </t>
  </si>
  <si>
    <t xml:space="preserve"> KIOS SAYUR </t>
  </si>
  <si>
    <t xml:space="preserve"> TOKO PLASTIK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</si>
</sst>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Rp&quot;* #,##0_-;\-&quot;Rp&quot;* #,##0_-;_-&quot;Rp&quot;* &quot;-&quot;_-;_-@_-"/>
    <numFmt numFmtId="164" formatCode="_(&quot;Rp&quot;* #,##0_);_(&quot;Rp&quot;* \(#,##0\);_(&quot;Rp&quot;* &quot;-&quot;_);_(@_)"/>
    <numFmt numFmtId="165" formatCode="&quot;Rp&quot;#,##0"/>
    <numFmt numFmtId="166" formatCode="&quot;Rp&quot;\ #,##0.00"/>
    <numFmt numFmtId="167" formatCode="&quot;Rp&quot;\ #,##0"/>
    <numFmt numFmtId="168" formatCode="#,##0.###"/>
    <numFmt numFmtId="169" formatCode="&quot;Rp&quot;\ #,##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 Unicode MS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11"/>
      <color rgb="FF595959"/>
      <name val="Calibri"/>
      <family val="2"/>
      <scheme val="minor"/>
    </font>
    <font>
      <b/>
      <sz val="12"/>
      <color rgb="FF1F4E79"/>
      <name val="Calibri"/>
      <family val="2"/>
      <scheme val="minor"/>
    </font>
    <font>
      <sz val="11"/>
      <color rgb="FF404040"/>
      <name val="Calibri"/>
      <family val="2"/>
      <scheme val="minor"/>
    </font>
    <font>
      <b/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8F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4" tint="-0.249977111117893"/>
        <bgColor indexed="64"/>
      </patternFill>
    </fill>
  </fills>
  <borders count="6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9" tint="0.39994506668294322"/>
      </left>
      <right/>
      <top/>
      <bottom/>
      <diagonal/>
    </border>
    <border>
      <left/>
      <right style="thick">
        <color theme="9" tint="0.39994506668294322"/>
      </right>
      <top/>
      <bottom/>
      <diagonal/>
    </border>
    <border>
      <left style="thick">
        <color theme="9" tint="0.39994506668294322"/>
      </left>
      <right/>
      <top/>
      <bottom style="thick">
        <color theme="9" tint="0.39994506668294322"/>
      </bottom>
      <diagonal/>
    </border>
    <border>
      <left/>
      <right style="thick">
        <color theme="9" tint="0.39994506668294322"/>
      </right>
      <top/>
      <bottom style="thick">
        <color theme="9" tint="0.39994506668294322"/>
      </bottom>
      <diagonal/>
    </border>
    <border>
      <left style="thick">
        <color theme="9" tint="0.39994506668294322"/>
      </left>
      <right/>
      <top style="thick">
        <color theme="9" tint="0.39991454817346722"/>
      </top>
      <bottom style="thick">
        <color theme="9" tint="0.39994506668294322"/>
      </bottom>
      <diagonal/>
    </border>
    <border>
      <left/>
      <right/>
      <top style="thick">
        <color theme="9" tint="0.39991454817346722"/>
      </top>
      <bottom style="thick">
        <color theme="9" tint="0.39994506668294322"/>
      </bottom>
      <diagonal/>
    </border>
    <border>
      <left/>
      <right style="thick">
        <color theme="9" tint="0.39994506668294322"/>
      </right>
      <top style="thick">
        <color theme="9" tint="0.39991454817346722"/>
      </top>
      <bottom style="thick">
        <color theme="9" tint="0.39994506668294322"/>
      </bottom>
      <diagonal/>
    </border>
    <border>
      <left style="thick">
        <color theme="9" tint="0.39991454817346722"/>
      </left>
      <right style="thick">
        <color theme="9" tint="0.39991454817346722"/>
      </right>
      <top style="thick">
        <color theme="9" tint="0.39994506668294322"/>
      </top>
      <bottom style="thick">
        <color theme="9" tint="0.39991454817346722"/>
      </bottom>
      <diagonal/>
    </border>
    <border>
      <left style="thick">
        <color theme="9" tint="0.39991454817346722"/>
      </left>
      <right style="thick">
        <color theme="9" tint="0.39994506668294322"/>
      </right>
      <top style="thick">
        <color theme="9" tint="0.39994506668294322"/>
      </top>
      <bottom style="thick">
        <color theme="9" tint="0.39991454817346722"/>
      </bottom>
      <diagonal/>
    </border>
    <border>
      <left/>
      <right style="thick">
        <color theme="9" tint="0.39991454817346722"/>
      </right>
      <top style="thick">
        <color theme="9" tint="0.39991454817346722"/>
      </top>
      <bottom style="thick">
        <color theme="9" tint="0.39994506668294322"/>
      </bottom>
      <diagonal/>
    </border>
    <border>
      <left style="thick">
        <color theme="9" tint="0.39991454817346722"/>
      </left>
      <right style="thick">
        <color theme="9" tint="0.39988402966399123"/>
      </right>
      <top style="thick">
        <color theme="9" tint="0.39991454817346722"/>
      </top>
      <bottom style="thick">
        <color theme="9" tint="0.39994506668294322"/>
      </bottom>
      <diagonal/>
    </border>
    <border>
      <left style="thick">
        <color theme="9" tint="0.39988402966399123"/>
      </left>
      <right style="thick">
        <color theme="9" tint="0.39988402966399123"/>
      </right>
      <top style="thick">
        <color theme="9" tint="0.39991454817346722"/>
      </top>
      <bottom style="thick">
        <color theme="9" tint="0.39994506668294322"/>
      </bottom>
      <diagonal/>
    </border>
    <border>
      <left style="thick">
        <color theme="9" tint="0.39988402966399123"/>
      </left>
      <right style="thick">
        <color theme="9" tint="0.39994506668294322"/>
      </right>
      <top style="thick">
        <color theme="9" tint="0.39991454817346722"/>
      </top>
      <bottom style="thick">
        <color theme="9" tint="0.39994506668294322"/>
      </bottom>
      <diagonal/>
    </border>
    <border>
      <left style="thick">
        <color theme="9" tint="0.39991454817346722"/>
      </left>
      <right/>
      <top/>
      <bottom/>
      <diagonal/>
    </border>
    <border>
      <left style="thick">
        <color theme="9" tint="0.39991454817346722"/>
      </left>
      <right/>
      <top style="thick">
        <color theme="9" tint="0.39991454817346722"/>
      </top>
      <bottom style="thick">
        <color theme="9" tint="0.39994506668294322"/>
      </bottom>
      <diagonal/>
    </border>
    <border>
      <left style="thick">
        <color theme="9" tint="0.39994506668294322"/>
      </left>
      <right style="thick">
        <color theme="9" tint="0.39991454817346722"/>
      </right>
      <top style="thick">
        <color theme="9" tint="0.39994506668294322"/>
      </top>
      <bottom/>
      <diagonal/>
    </border>
    <border>
      <left style="thick">
        <color theme="9" tint="0.39991454817346722"/>
      </left>
      <right style="thick">
        <color theme="9" tint="0.39994506668294322"/>
      </right>
      <top style="thick">
        <color theme="9" tint="0.39994506668294322"/>
      </top>
      <bottom/>
      <diagonal/>
    </border>
    <border>
      <left style="thick">
        <color theme="7" tint="0.39994506668294322"/>
      </left>
      <right/>
      <top/>
      <bottom/>
      <diagonal/>
    </border>
    <border>
      <left/>
      <right style="thick">
        <color theme="7" tint="0.39994506668294322"/>
      </right>
      <top/>
      <bottom/>
      <diagonal/>
    </border>
    <border>
      <left style="thick">
        <color theme="7" tint="0.39994506668294322"/>
      </left>
      <right/>
      <top/>
      <bottom style="thick">
        <color theme="7" tint="0.39994506668294322"/>
      </bottom>
      <diagonal/>
    </border>
    <border>
      <left/>
      <right/>
      <top/>
      <bottom style="thick">
        <color theme="7" tint="0.39994506668294322"/>
      </bottom>
      <diagonal/>
    </border>
    <border>
      <left/>
      <right style="thick">
        <color theme="7" tint="0.39994506668294322"/>
      </right>
      <top/>
      <bottom style="thick">
        <color theme="7" tint="0.39994506668294322"/>
      </bottom>
      <diagonal/>
    </border>
    <border>
      <left style="thick">
        <color theme="7" tint="0.39994506668294322"/>
      </left>
      <right style="thick">
        <color theme="7" tint="0.39991454817346722"/>
      </right>
      <top style="thick">
        <color theme="7" tint="0.39994506668294322"/>
      </top>
      <bottom/>
      <diagonal/>
    </border>
    <border>
      <left style="thick">
        <color theme="7" tint="0.39991454817346722"/>
      </left>
      <right style="thick">
        <color theme="7" tint="0.39991454817346722"/>
      </right>
      <top style="thick">
        <color theme="7" tint="0.39994506668294322"/>
      </top>
      <bottom/>
      <diagonal/>
    </border>
    <border>
      <left style="thick">
        <color theme="7" tint="0.39991454817346722"/>
      </left>
      <right style="thick">
        <color theme="7" tint="0.39994506668294322"/>
      </right>
      <top style="thick">
        <color theme="7" tint="0.39994506668294322"/>
      </top>
      <bottom/>
      <diagonal/>
    </border>
    <border>
      <left style="thick">
        <color theme="8" tint="0.39994506668294322"/>
      </left>
      <right/>
      <top/>
      <bottom/>
      <diagonal/>
    </border>
    <border>
      <left/>
      <right style="thick">
        <color theme="8" tint="0.39994506668294322"/>
      </right>
      <top/>
      <bottom/>
      <diagonal/>
    </border>
    <border>
      <left style="thick">
        <color theme="8" tint="0.39994506668294322"/>
      </left>
      <right style="thick">
        <color theme="8" tint="0.39991454817346722"/>
      </right>
      <top style="thick">
        <color theme="8" tint="0.39994506668294322"/>
      </top>
      <bottom/>
      <diagonal/>
    </border>
    <border>
      <left style="thick">
        <color theme="8" tint="0.39991454817346722"/>
      </left>
      <right style="thick">
        <color theme="8" tint="0.39991454817346722"/>
      </right>
      <top style="thick">
        <color theme="8" tint="0.39994506668294322"/>
      </top>
      <bottom/>
      <diagonal/>
    </border>
    <border>
      <left style="thick">
        <color theme="8" tint="0.39991454817346722"/>
      </left>
      <right style="thick">
        <color theme="8" tint="0.39988402966399123"/>
      </right>
      <top style="thick">
        <color theme="8" tint="0.39994506668294322"/>
      </top>
      <bottom style="thick">
        <color theme="8" tint="0.39988402966399123"/>
      </bottom>
      <diagonal/>
    </border>
    <border>
      <left style="thick">
        <color theme="8" tint="0.39988402966399123"/>
      </left>
      <right style="thick">
        <color theme="8" tint="0.39988402966399123"/>
      </right>
      <top style="thick">
        <color theme="8" tint="0.39994506668294322"/>
      </top>
      <bottom style="thick">
        <color theme="8" tint="0.39988402966399123"/>
      </bottom>
      <diagonal/>
    </border>
    <border>
      <left style="thick">
        <color theme="8" tint="0.39988402966399123"/>
      </left>
      <right style="thick">
        <color theme="8" tint="0.39994506668294322"/>
      </right>
      <top style="thick">
        <color theme="8" tint="0.39994506668294322"/>
      </top>
      <bottom style="thick">
        <color theme="8" tint="0.39988402966399123"/>
      </bottom>
      <diagonal/>
    </border>
    <border>
      <left style="thick">
        <color theme="8" tint="0.39988402966399123"/>
      </left>
      <right style="thick">
        <color theme="8" tint="0.39994506668294322"/>
      </right>
      <top style="thick">
        <color theme="8" tint="0.39988402966399123"/>
      </top>
      <bottom style="thick">
        <color theme="8" tint="0.39988402966399123"/>
      </bottom>
      <diagonal/>
    </border>
    <border>
      <left style="thick">
        <color theme="8" tint="0.39991454817346722"/>
      </left>
      <right/>
      <top style="thick">
        <color theme="8" tint="0.39988402966399123"/>
      </top>
      <bottom style="thick">
        <color theme="8" tint="0.39988402966399123"/>
      </bottom>
      <diagonal/>
    </border>
    <border>
      <left/>
      <right/>
      <top style="thick">
        <color theme="8" tint="0.39988402966399123"/>
      </top>
      <bottom style="thick">
        <color theme="8" tint="0.39988402966399123"/>
      </bottom>
      <diagonal/>
    </border>
    <border>
      <left/>
      <right style="thick">
        <color theme="8" tint="0.39988402966399123"/>
      </right>
      <top style="thick">
        <color theme="8" tint="0.39988402966399123"/>
      </top>
      <bottom style="thick">
        <color theme="8" tint="0.39988402966399123"/>
      </bottom>
      <diagonal/>
    </border>
    <border>
      <left style="thick">
        <color theme="9" tint="0.39991454817346722"/>
      </left>
      <right style="thick">
        <color theme="9" tint="0.39991454817346722"/>
      </right>
      <top style="thick">
        <color theme="9" tint="0.39994506668294322"/>
      </top>
      <bottom/>
      <diagonal/>
    </border>
    <border>
      <left style="thick">
        <color theme="9" tint="0.39994506668294322"/>
      </left>
      <right style="thick">
        <color theme="9" tint="0.39991454817346722"/>
      </right>
      <top/>
      <bottom style="thick">
        <color theme="9" tint="0.39991454817346722"/>
      </bottom>
      <diagonal/>
    </border>
    <border>
      <left style="thick">
        <color theme="9" tint="0.39991454817346722"/>
      </left>
      <right style="thick">
        <color theme="9" tint="0.39991454817346722"/>
      </right>
      <top/>
      <bottom style="thick">
        <color theme="9" tint="0.39991454817346722"/>
      </bottom>
      <diagonal/>
    </border>
    <border>
      <left/>
      <right style="thick">
        <color theme="9" tint="0.39988402966399123"/>
      </right>
      <top style="thick">
        <color theme="9" tint="0.39994506668294322"/>
      </top>
      <bottom/>
      <diagonal/>
    </border>
    <border>
      <left style="thick">
        <color theme="9" tint="0.39991454817346722"/>
      </left>
      <right/>
      <top/>
      <bottom style="thick">
        <color theme="9" tint="0.39988402966399123"/>
      </bottom>
      <diagonal/>
    </border>
    <border>
      <left/>
      <right/>
      <top/>
      <bottom style="thick">
        <color theme="9" tint="0.39988402966399123"/>
      </bottom>
      <diagonal/>
    </border>
    <border>
      <left/>
      <right style="thick">
        <color theme="9" tint="0.39988402966399123"/>
      </right>
      <top/>
      <bottom style="thick">
        <color theme="9" tint="0.39988402966399123"/>
      </bottom>
      <diagonal/>
    </border>
    <border>
      <left style="thick">
        <color theme="9" tint="0.39991454817346722"/>
      </left>
      <right/>
      <top style="thick">
        <color theme="9" tint="0.39994506668294322"/>
      </top>
      <bottom style="thick">
        <color theme="9" tint="0.39988402966399123"/>
      </bottom>
      <diagonal/>
    </border>
    <border>
      <left/>
      <right/>
      <top style="thick">
        <color theme="9" tint="0.39994506668294322"/>
      </top>
      <bottom style="thick">
        <color theme="9" tint="0.39988402966399123"/>
      </bottom>
      <diagonal/>
    </border>
    <border>
      <left/>
      <right style="thick">
        <color theme="9" tint="0.39988402966399123"/>
      </right>
      <top style="thick">
        <color theme="9" tint="0.39994506668294322"/>
      </top>
      <bottom style="thick">
        <color theme="9" tint="0.39988402966399123"/>
      </bottom>
      <diagonal/>
    </border>
    <border>
      <left style="thick">
        <color theme="8" tint="0.39994506668294322"/>
      </left>
      <right/>
      <top style="thick">
        <color theme="8" tint="0.39991454817346722"/>
      </top>
      <bottom style="thick">
        <color theme="8" tint="0.39994506668294322"/>
      </bottom>
      <diagonal/>
    </border>
    <border>
      <left/>
      <right/>
      <top style="thick">
        <color theme="8" tint="0.39991454817346722"/>
      </top>
      <bottom style="thick">
        <color theme="8" tint="0.39994506668294322"/>
      </bottom>
      <diagonal/>
    </border>
    <border>
      <left/>
      <right style="thick">
        <color theme="8" tint="0.39994506668294322"/>
      </right>
      <top style="thick">
        <color theme="8" tint="0.39991454817346722"/>
      </top>
      <bottom style="thick">
        <color theme="8" tint="0.39994506668294322"/>
      </bottom>
      <diagonal/>
    </border>
    <border>
      <left style="thick">
        <color theme="8" tint="0.39994506668294322"/>
      </left>
      <right style="thick">
        <color theme="8" tint="0.39991454817346722"/>
      </right>
      <top/>
      <bottom style="thick">
        <color theme="8" tint="0.39991454817346722"/>
      </bottom>
      <diagonal/>
    </border>
    <border>
      <left style="thick">
        <color theme="8" tint="0.39991454817346722"/>
      </left>
      <right style="thick">
        <color theme="8" tint="0.39991454817346722"/>
      </right>
      <top/>
      <bottom style="thick">
        <color theme="8" tint="0.39991454817346722"/>
      </bottom>
      <diagonal/>
    </border>
    <border>
      <left style="thick">
        <color theme="4" tint="0.39994506668294322"/>
      </left>
      <right/>
      <top/>
      <bottom/>
      <diagonal/>
    </border>
    <border>
      <left/>
      <right style="thick">
        <color theme="4" tint="0.39994506668294322"/>
      </right>
      <top/>
      <bottom/>
      <diagonal/>
    </border>
    <border>
      <left style="thick">
        <color theme="4" tint="0.39994506668294322"/>
      </left>
      <right style="thick">
        <color theme="4" tint="0.39991454817346722"/>
      </right>
      <top style="thick">
        <color theme="4" tint="0.39991454817346722"/>
      </top>
      <bottom style="thick">
        <color theme="4" tint="0.39991454817346722"/>
      </bottom>
      <diagonal/>
    </border>
    <border>
      <left style="thick">
        <color theme="4" tint="0.39991454817346722"/>
      </left>
      <right style="thick">
        <color theme="4" tint="0.39991454817346722"/>
      </right>
      <top style="thick">
        <color theme="4" tint="0.39991454817346722"/>
      </top>
      <bottom style="thick">
        <color theme="4" tint="0.39991454817346722"/>
      </bottom>
      <diagonal/>
    </border>
    <border>
      <left style="thick">
        <color theme="4" tint="0.39991454817346722"/>
      </left>
      <right style="thick">
        <color theme="4" tint="0.39994506668294322"/>
      </right>
      <top style="thick">
        <color theme="4" tint="0.39991454817346722"/>
      </top>
      <bottom style="thick">
        <color theme="4" tint="0.39991454817346722"/>
      </bottom>
      <diagonal/>
    </border>
    <border>
      <left style="thick">
        <color theme="4" tint="0.39994506668294322"/>
      </left>
      <right style="thick">
        <color theme="4" tint="0.39991454817346722"/>
      </right>
      <top style="thick">
        <color theme="4" tint="0.39991454817346722"/>
      </top>
      <bottom style="thick">
        <color theme="4" tint="0.39994506668294322"/>
      </bottom>
      <diagonal/>
    </border>
    <border>
      <left style="thick">
        <color theme="4" tint="0.39991454817346722"/>
      </left>
      <right style="thick">
        <color theme="4" tint="0.39991454817346722"/>
      </right>
      <top style="thick">
        <color theme="4" tint="0.39991454817346722"/>
      </top>
      <bottom style="thick">
        <color theme="4" tint="0.39994506668294322"/>
      </bottom>
      <diagonal/>
    </border>
    <border>
      <left style="thick">
        <color theme="4" tint="0.39991454817346722"/>
      </left>
      <right style="thick">
        <color theme="4" tint="0.39994506668294322"/>
      </right>
      <top style="thick">
        <color theme="4" tint="0.39991454817346722"/>
      </top>
      <bottom style="thick">
        <color theme="4" tint="0.39994506668294322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5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 vertical="top"/>
    </xf>
    <xf numFmtId="3" fontId="0" fillId="0" borderId="0" xfId="0" applyNumberForma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0" xfId="0" applyNumberFormat="1"/>
    <xf numFmtId="9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/>
    </xf>
    <xf numFmtId="0" fontId="8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165" fontId="0" fillId="0" borderId="0" xfId="0" applyNumberFormat="1" applyAlignment="1">
      <alignment horizontal="center"/>
    </xf>
    <xf numFmtId="165" fontId="0" fillId="0" borderId="0" xfId="0" applyNumberFormat="1"/>
    <xf numFmtId="9" fontId="9" fillId="0" borderId="0" xfId="0" applyNumberFormat="1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/>
    </xf>
    <xf numFmtId="9" fontId="0" fillId="0" borderId="6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165" fontId="10" fillId="4" borderId="12" xfId="0" applyNumberFormat="1" applyFont="1" applyFill="1" applyBorder="1" applyAlignment="1">
      <alignment horizontal="center" vertical="center"/>
    </xf>
    <xf numFmtId="9" fontId="10" fillId="4" borderId="13" xfId="0" applyNumberFormat="1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164" fontId="4" fillId="4" borderId="16" xfId="0" applyNumberFormat="1" applyFont="1" applyFill="1" applyBorder="1" applyAlignment="1">
      <alignment horizontal="center" vertical="center"/>
    </xf>
    <xf numFmtId="9" fontId="4" fillId="4" borderId="17" xfId="0" applyNumberFormat="1" applyFont="1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9" fontId="0" fillId="0" borderId="8" xfId="0" applyNumberFormat="1" applyBorder="1"/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42" fontId="0" fillId="0" borderId="6" xfId="0" applyNumberFormat="1" applyBorder="1"/>
    <xf numFmtId="0" fontId="0" fillId="0" borderId="22" xfId="0" applyBorder="1"/>
    <xf numFmtId="165" fontId="0" fillId="0" borderId="23" xfId="0" applyNumberFormat="1" applyBorder="1"/>
    <xf numFmtId="0" fontId="0" fillId="0" borderId="24" xfId="0" applyBorder="1"/>
    <xf numFmtId="165" fontId="0" fillId="0" borderId="25" xfId="0" applyNumberFormat="1" applyBorder="1"/>
    <xf numFmtId="165" fontId="0" fillId="0" borderId="26" xfId="0" applyNumberFormat="1" applyBorder="1"/>
    <xf numFmtId="0" fontId="4" fillId="6" borderId="27" xfId="0" applyFont="1" applyFill="1" applyBorder="1" applyAlignment="1">
      <alignment horizontal="center" vertical="center"/>
    </xf>
    <xf numFmtId="0" fontId="4" fillId="6" borderId="28" xfId="0" applyFont="1" applyFill="1" applyBorder="1" applyAlignment="1">
      <alignment horizontal="center" vertical="center"/>
    </xf>
    <xf numFmtId="0" fontId="4" fillId="6" borderId="29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0" xfId="0" applyBorder="1"/>
    <xf numFmtId="0" fontId="5" fillId="0" borderId="31" xfId="0" applyFont="1" applyBorder="1" applyAlignment="1">
      <alignment horizontal="center" vertical="center"/>
    </xf>
    <xf numFmtId="0" fontId="5" fillId="3" borderId="38" xfId="0" applyFont="1" applyFill="1" applyBorder="1" applyAlignment="1">
      <alignment horizontal="center"/>
    </xf>
    <xf numFmtId="0" fontId="5" fillId="3" borderId="39" xfId="0" applyFont="1" applyFill="1" applyBorder="1" applyAlignment="1">
      <alignment horizontal="center"/>
    </xf>
    <xf numFmtId="0" fontId="5" fillId="3" borderId="40" xfId="0" applyFont="1" applyFill="1" applyBorder="1" applyAlignment="1">
      <alignment horizontal="center"/>
    </xf>
    <xf numFmtId="42" fontId="0" fillId="0" borderId="6" xfId="0" applyNumberFormat="1" applyBorder="1" applyAlignment="1">
      <alignment horizontal="center" vertical="center"/>
    </xf>
    <xf numFmtId="42" fontId="5" fillId="0" borderId="6" xfId="0" applyNumberFormat="1" applyFont="1" applyBorder="1" applyAlignment="1">
      <alignment horizontal="center" vertical="center"/>
    </xf>
    <xf numFmtId="3" fontId="5" fillId="2" borderId="45" xfId="0" applyNumberFormat="1" applyFont="1" applyFill="1" applyBorder="1" applyAlignment="1">
      <alignment horizontal="center"/>
    </xf>
    <xf numFmtId="3" fontId="5" fillId="2" borderId="46" xfId="0" applyNumberFormat="1" applyFont="1" applyFill="1" applyBorder="1" applyAlignment="1">
      <alignment horizontal="center"/>
    </xf>
    <xf numFmtId="42" fontId="1" fillId="4" borderId="10" xfId="0" applyNumberFormat="1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1" fillId="5" borderId="51" xfId="0" applyFont="1" applyFill="1" applyBorder="1" applyAlignment="1">
      <alignment horizontal="center" vertical="center"/>
    </xf>
    <xf numFmtId="0" fontId="5" fillId="5" borderId="52" xfId="0" applyFont="1" applyFill="1" applyBorder="1" applyAlignment="1">
      <alignment horizontal="center" vertical="center"/>
    </xf>
    <xf numFmtId="0" fontId="1" fillId="5" borderId="52" xfId="0" applyFont="1" applyFill="1" applyBorder="1" applyAlignment="1">
      <alignment horizontal="center" vertical="center"/>
    </xf>
    <xf numFmtId="0" fontId="1" fillId="5" borderId="5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3" fontId="6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left" vertical="top"/>
    </xf>
    <xf numFmtId="0" fontId="1" fillId="0" borderId="0" xfId="0" applyFont="1" applyAlignment="1">
      <alignment vertical="center"/>
    </xf>
    <xf numFmtId="2" fontId="1" fillId="0" borderId="0" xfId="0" applyNumberFormat="1" applyFont="1" applyAlignment="1">
      <alignment vertical="center"/>
    </xf>
    <xf numFmtId="166" fontId="1" fillId="0" borderId="0" xfId="0" applyNumberFormat="1" applyFont="1" applyAlignment="1">
      <alignment vertical="center"/>
    </xf>
    <xf numFmtId="2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0" fontId="1" fillId="8" borderId="0" xfId="0" applyFont="1" applyFill="1"/>
    <xf numFmtId="0" fontId="1" fillId="9" borderId="2" xfId="0" applyFont="1" applyFill="1" applyBorder="1" applyAlignment="1">
      <alignment wrapText="1"/>
    </xf>
    <xf numFmtId="167" fontId="9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/>
    </xf>
    <xf numFmtId="0" fontId="0" fillId="0" borderId="1" xfId="0" applyBorder="1" applyAlignment="1">
      <alignment vertical="center"/>
    </xf>
    <xf numFmtId="0" fontId="0" fillId="13" borderId="1" xfId="0" applyFill="1" applyBorder="1" applyAlignment="1">
      <alignment vertical="center"/>
    </xf>
    <xf numFmtId="0" fontId="11" fillId="11" borderId="4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166" fontId="15" fillId="0" borderId="0" xfId="0" applyNumberFormat="1" applyFont="1" applyAlignment="1">
      <alignment vertical="center"/>
    </xf>
    <xf numFmtId="0" fontId="15" fillId="0" borderId="0" xfId="0" applyFont="1" applyAlignment="1">
      <alignment vertical="center" wrapText="1"/>
    </xf>
    <xf numFmtId="0" fontId="0" fillId="0" borderId="56" xfId="0" applyBorder="1" applyAlignment="1">
      <alignment horizontal="left" vertical="center"/>
    </xf>
    <xf numFmtId="0" fontId="0" fillId="0" borderId="57" xfId="0" applyBorder="1" applyAlignment="1">
      <alignment horizontal="center" vertical="center" wrapText="1"/>
    </xf>
    <xf numFmtId="0" fontId="4" fillId="14" borderId="58" xfId="0" applyFont="1" applyFill="1" applyBorder="1" applyAlignment="1">
      <alignment horizontal="center" vertical="center" wrapText="1"/>
    </xf>
    <xf numFmtId="0" fontId="4" fillId="14" borderId="59" xfId="0" applyFont="1" applyFill="1" applyBorder="1" applyAlignment="1">
      <alignment horizontal="center" vertical="center" wrapText="1"/>
    </xf>
    <xf numFmtId="164" fontId="4" fillId="14" borderId="59" xfId="0" applyNumberFormat="1" applyFont="1" applyFill="1" applyBorder="1" applyAlignment="1">
      <alignment horizontal="center" vertical="center" wrapText="1"/>
    </xf>
    <xf numFmtId="0" fontId="4" fillId="14" borderId="60" xfId="0" applyFont="1" applyFill="1" applyBorder="1" applyAlignment="1">
      <alignment horizontal="center" vertical="center" wrapText="1"/>
    </xf>
    <xf numFmtId="0" fontId="4" fillId="14" borderId="61" xfId="0" applyFont="1" applyFill="1" applyBorder="1" applyAlignment="1">
      <alignment horizontal="center" vertical="center"/>
    </xf>
    <xf numFmtId="164" fontId="1" fillId="14" borderId="62" xfId="0" applyNumberFormat="1" applyFont="1" applyFill="1" applyBorder="1" applyAlignment="1">
      <alignment horizontal="center" vertical="center"/>
    </xf>
    <xf numFmtId="0" fontId="0" fillId="14" borderId="63" xfId="0" applyFill="1" applyBorder="1" applyAlignment="1">
      <alignment wrapText="1"/>
    </xf>
    <xf numFmtId="0" fontId="5" fillId="0" borderId="0" xfId="0" applyFont="1"/>
    <xf numFmtId="0" fontId="17" fillId="0" borderId="0" xfId="0" applyFont="1"/>
    <xf numFmtId="164" fontId="0" fillId="17" borderId="0" xfId="0" applyNumberFormat="1" applyFill="1"/>
    <xf numFmtId="0" fontId="0" fillId="17" borderId="0" xfId="0" applyFill="1"/>
    <xf numFmtId="0" fontId="4" fillId="17" borderId="0" xfId="0" applyFont="1" applyFill="1" applyAlignment="1">
      <alignment horizontal="left" vertical="center"/>
    </xf>
    <xf numFmtId="49" fontId="19" fillId="15" borderId="0" xfId="0" applyNumberFormat="1" applyFont="1" applyFill="1" applyAlignment="1">
      <alignment horizontal="center" vertical="center" wrapText="1"/>
    </xf>
    <xf numFmtId="0" fontId="19" fillId="15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168" fontId="0" fillId="0" borderId="0" xfId="0" applyNumberFormat="1"/>
    <xf numFmtId="14" fontId="0" fillId="0" borderId="0" xfId="0" applyNumberFormat="1"/>
    <xf numFmtId="167" fontId="0" fillId="0" borderId="0" xfId="0" applyNumberFormat="1"/>
    <xf numFmtId="0" fontId="0" fillId="17" borderId="0" xfId="0" applyFill="1" applyAlignment="1">
      <alignment horizontal="left" vertical="center"/>
    </xf>
    <xf numFmtId="49" fontId="5" fillId="10" borderId="0" xfId="0" applyNumberFormat="1" applyFont="1" applyFill="1" applyAlignment="1">
      <alignment horizontal="center" vertical="center"/>
    </xf>
    <xf numFmtId="168" fontId="5" fillId="10" borderId="0" xfId="0" applyNumberFormat="1" applyFont="1" applyFill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49" fontId="5" fillId="10" borderId="0" xfId="0" applyNumberFormat="1" applyFont="1" applyFill="1" applyAlignment="1">
      <alignment vertical="center"/>
    </xf>
    <xf numFmtId="0" fontId="5" fillId="0" borderId="0" xfId="0" applyFont="1" applyAlignment="1">
      <alignment vertical="center"/>
    </xf>
    <xf numFmtId="0" fontId="5" fillId="14" borderId="0" xfId="0" applyFont="1" applyFill="1" applyAlignment="1">
      <alignment horizontal="center" vertical="center"/>
    </xf>
    <xf numFmtId="49" fontId="18" fillId="17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/>
    </xf>
    <xf numFmtId="0" fontId="0" fillId="12" borderId="2" xfId="0" applyFill="1" applyBorder="1" applyAlignment="1">
      <alignment vertical="top" wrapText="1"/>
    </xf>
    <xf numFmtId="0" fontId="12" fillId="7" borderId="0" xfId="0" applyFont="1" applyFill="1" applyAlignment="1">
      <alignment horizontal="center"/>
    </xf>
    <xf numFmtId="0" fontId="13" fillId="0" borderId="0" xfId="0" applyFont="1" applyAlignment="1">
      <alignment wrapText="1"/>
    </xf>
    <xf numFmtId="0" fontId="1" fillId="9" borderId="2" xfId="0" applyFont="1" applyFill="1" applyBorder="1"/>
    <xf numFmtId="0" fontId="0" fillId="10" borderId="0" xfId="0" applyFill="1" applyAlignment="1">
      <alignment wrapText="1"/>
    </xf>
    <xf numFmtId="0" fontId="14" fillId="0" borderId="0" xfId="0" applyFont="1"/>
    <xf numFmtId="0" fontId="5" fillId="5" borderId="34" xfId="0" applyFont="1" applyFill="1" applyBorder="1" applyAlignment="1">
      <alignment horizontal="center"/>
    </xf>
    <xf numFmtId="0" fontId="5" fillId="5" borderId="35" xfId="0" applyFont="1" applyFill="1" applyBorder="1" applyAlignment="1">
      <alignment horizontal="center"/>
    </xf>
    <xf numFmtId="0" fontId="5" fillId="5" borderId="32" xfId="0" applyFont="1" applyFill="1" applyBorder="1" applyAlignment="1">
      <alignment horizontal="center" vertical="center"/>
    </xf>
    <xf numFmtId="0" fontId="5" fillId="5" borderId="54" xfId="0" applyFont="1" applyFill="1" applyBorder="1" applyAlignment="1">
      <alignment horizontal="center" vertical="center"/>
    </xf>
    <xf numFmtId="0" fontId="5" fillId="5" borderId="33" xfId="0" applyFont="1" applyFill="1" applyBorder="1" applyAlignment="1">
      <alignment horizontal="center" vertical="center"/>
    </xf>
    <xf numFmtId="0" fontId="5" fillId="5" borderId="55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center" vertical="center"/>
    </xf>
    <xf numFmtId="0" fontId="5" fillId="5" borderId="37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44" xfId="0" applyFont="1" applyFill="1" applyBorder="1" applyAlignment="1">
      <alignment horizontal="center" vertical="center"/>
    </xf>
    <xf numFmtId="0" fontId="5" fillId="4" borderId="47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42" xfId="0" applyFont="1" applyFill="1" applyBorder="1" applyAlignment="1">
      <alignment horizontal="center" vertical="center"/>
    </xf>
    <xf numFmtId="0" fontId="5" fillId="4" borderId="41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horizontal="center" vertical="center"/>
    </xf>
    <xf numFmtId="3" fontId="5" fillId="4" borderId="48" xfId="0" applyNumberFormat="1" applyFont="1" applyFill="1" applyBorder="1" applyAlignment="1">
      <alignment horizontal="center"/>
    </xf>
    <xf numFmtId="3" fontId="5" fillId="4" borderId="49" xfId="0" applyNumberFormat="1" applyFont="1" applyFill="1" applyBorder="1" applyAlignment="1">
      <alignment horizontal="center"/>
    </xf>
    <xf numFmtId="3" fontId="5" fillId="4" borderId="50" xfId="0" applyNumberFormat="1" applyFont="1" applyFill="1" applyBorder="1" applyAlignment="1">
      <alignment horizontal="center"/>
    </xf>
    <xf numFmtId="3" fontId="5" fillId="4" borderId="41" xfId="0" applyNumberFormat="1" applyFont="1" applyFill="1" applyBorder="1" applyAlignment="1">
      <alignment horizontal="center" vertical="center"/>
    </xf>
    <xf numFmtId="3" fontId="5" fillId="4" borderId="43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169" fontId="5" fillId="10" borderId="0" xfId="0" applyNumberFormat="1" applyFont="1" applyFill="1" applyAlignment="1">
      <alignment vertical="center"/>
    </xf>
  </cellXfs>
  <cellStyles count="1">
    <cellStyle name="Normal" xfId="0" builtinId="0"/>
  </cellStyles>
  <dxfs count="43">
    <dxf>
      <fill>
        <patternFill>
          <bgColor theme="0" tint="-4.9989318521683403E-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0" tint="-4.9989318521683403E-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&quot;Rp&quot;\ #,##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&quot;Rp&quot;\ #,##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p&quot;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p&quot;#,##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p&quot;#,##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4" formatCode="_(&quot;Rp&quot;* #,##0_);_(&quot;Rp&quot;* \(#,##0\);_(&quot;Rp&quot;* &quot;-&quot;_);_(@_)"/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</font>
      <alignment horizontal="general" vertical="center" textRotation="0" wrapText="0" indent="0" justifyLastLine="0" shrinkToFit="0" readingOrder="0"/>
    </dxf>
    <dxf>
      <font>
        <b val="0"/>
      </font>
      <alignment horizontal="general" vertical="center" textRotation="0" wrapText="0" indent="0" justifyLastLine="0" shrinkToFit="0" readingOrder="0"/>
    </dxf>
    <dxf>
      <font>
        <b val="0"/>
      </font>
      <alignment horizontal="general" vertical="center" textRotation="0" wrapText="0" indent="0" justifyLastLine="0" shrinkToFit="0" readingOrder="0"/>
    </dxf>
    <dxf>
      <font>
        <b val="0"/>
      </font>
      <numFmt numFmtId="166" formatCode="&quot;Rp&quot;\ #,##0.00"/>
      <alignment horizontal="general" vertical="center" textRotation="0" wrapText="0" indent="0" justifyLastLine="0" shrinkToFit="0" readingOrder="0"/>
    </dxf>
    <dxf>
      <font>
        <b val="0"/>
      </font>
      <numFmt numFmtId="166" formatCode="&quot;Rp&quot;\ #,##0.00"/>
      <alignment horizontal="general" vertical="center" textRotation="0" wrapText="0" indent="0" justifyLastLine="0" shrinkToFit="0" readingOrder="0"/>
    </dxf>
    <dxf>
      <font>
        <b val="0"/>
      </font>
      <alignment horizontal="general" vertical="center" textRotation="0" wrapText="0" indent="0" justifyLastLine="0" shrinkToFit="0" readingOrder="0"/>
    </dxf>
    <dxf>
      <font>
        <b val="0"/>
      </font>
      <numFmt numFmtId="2" formatCode="0.00"/>
      <alignment horizontal="general" vertical="center" textRotation="0" wrapText="0" indent="0" justifyLastLine="0" shrinkToFit="0" readingOrder="0"/>
    </dxf>
    <dxf>
      <font>
        <b val="0"/>
      </font>
      <alignment horizontal="general" vertical="center" textRotation="0" wrapText="0" indent="0" justifyLastLine="0" shrinkToFit="0" readingOrder="0"/>
    </dxf>
    <dxf>
      <font>
        <b val="0"/>
      </font>
      <alignment horizontal="general" vertical="center" textRotation="0" wrapText="0" indent="0" justifyLastLine="0" shrinkToFit="0" readingOrder="0"/>
    </dxf>
    <dxf>
      <font>
        <b val="0"/>
      </font>
      <alignment horizontal="general" vertical="center" textRotation="0" wrapText="0" indent="0" justifyLastLine="0" shrinkToFit="0" readingOrder="0"/>
    </dxf>
    <dxf>
      <font>
        <b val="0"/>
      </font>
      <alignment horizontal="general" vertical="center" textRotation="0" wrapText="0" indent="0" justifyLastLine="0" shrinkToFit="0" readingOrder="0"/>
    </dxf>
    <dxf>
      <font>
        <b val="0"/>
      </font>
      <alignment horizontal="general" vertical="center" textRotation="0" wrapText="0" indent="0" justifyLastLine="0" shrinkToFit="0" readingOrder="0"/>
    </dxf>
    <dxf>
      <font>
        <b val="0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fill>
        <patternFill>
          <bgColor theme="8" tint="0.79998168889431442"/>
        </patternFill>
      </fill>
    </dxf>
    <dxf>
      <numFmt numFmtId="167" formatCode="&quot;Rp&quot;\ #,##0"/>
    </dxf>
    <dxf>
      <numFmt numFmtId="168" formatCode="#,##0.###"/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539750</xdr:colOff>
          <xdr:row>2</xdr:row>
          <xdr:rowOff>342900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SIMPAN RESEP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539750</xdr:colOff>
          <xdr:row>4</xdr:row>
          <xdr:rowOff>342900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BERSIHKAN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11</xdr:col>
          <xdr:colOff>539750</xdr:colOff>
          <xdr:row>7</xdr:row>
          <xdr:rowOff>146050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PERBARUI DROPDOWN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1022959</xdr:colOff>
      <xdr:row>0</xdr:row>
      <xdr:rowOff>42333</xdr:rowOff>
    </xdr:from>
    <xdr:to>
      <xdr:col>6</xdr:col>
      <xdr:colOff>0</xdr:colOff>
      <xdr:row>1</xdr:row>
      <xdr:rowOff>78286</xdr:rowOff>
    </xdr:to>
    <xdr:sp macro="[0]!TutupBukuBulanan" textlink="">
      <xdr:nvSpPr>
        <xdr:cNvPr id="2" name="Rectangle 1">
          <a:extLst>
            <a:ext uri="{FF2B5EF4-FFF2-40B4-BE49-F238E27FC236}">
              <a16:creationId xmlns:a16="http://schemas.microsoft.com/office/drawing/2014/main" id="{075CDC0E-54D1-3941-A242-BAEE3D24D78E}"/>
            </a:ext>
          </a:extLst>
        </xdr:cNvPr>
        <xdr:cNvSpPr/>
      </xdr:nvSpPr>
      <xdr:spPr>
        <a:xfrm>
          <a:off x="4113292" y="42333"/>
          <a:ext cx="4260241" cy="416953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1"/>
            <a:t>TUTUP BUKU BULANAN</a:t>
          </a:r>
        </a:p>
      </xdr:txBody>
    </xdr:sp>
    <xdr:clientData/>
  </xdr:twoCellAnchor>
  <xdr:oneCellAnchor>
    <xdr:from>
      <xdr:col>3</xdr:col>
      <xdr:colOff>0</xdr:colOff>
      <xdr:row>3</xdr:row>
      <xdr:rowOff>78287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1F6430E-8C45-2DB8-44E4-2A11711C448B}"/>
            </a:ext>
          </a:extLst>
        </xdr:cNvPr>
        <xdr:cNvSpPr txBox="1"/>
      </xdr:nvSpPr>
      <xdr:spPr>
        <a:xfrm>
          <a:off x="5166986" y="10264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D" sz="1100"/>
        </a:p>
      </xdr:txBody>
    </xdr:sp>
    <xdr:clientData/>
  </xdr:oneCellAnchor>
  <xdr:oneCellAnchor>
    <xdr:from>
      <xdr:col>2</xdr:col>
      <xdr:colOff>1022959</xdr:colOff>
      <xdr:row>1</xdr:row>
      <xdr:rowOff>130479</xdr:rowOff>
    </xdr:from>
    <xdr:ext cx="4260241" cy="217694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900540B-FCF6-B004-F1A3-AF3F008746C6}"/>
            </a:ext>
          </a:extLst>
        </xdr:cNvPr>
        <xdr:cNvSpPr txBox="1"/>
      </xdr:nvSpPr>
      <xdr:spPr>
        <a:xfrm>
          <a:off x="4113292" y="511479"/>
          <a:ext cx="4260241" cy="217694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rtl="0"/>
          <a:r>
            <a:rPr lang="en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 </a:t>
          </a:r>
          <a:r>
            <a:rPr lang="en-ID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PERHATIAN SEBELUM KLIK "TUTUP BUKU BULANAN"</a:t>
          </a:r>
          <a:endParaRPr lang="en-ID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/>
          <a:endParaRPr lang="en-ID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 rtl="0"/>
          <a:r>
            <a:rPr lang="en-ID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Simpan Otomatis:</a:t>
          </a:r>
          <a:r>
            <a:rPr lang="en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Laporan bulan ini akan otomatis disimpan sebagai file cadangan (</a:t>
          </a:r>
          <a:r>
            <a:rPr lang="en-ID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backup</a:t>
          </a:r>
          <a:r>
            <a:rPr lang="en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di folder </a:t>
          </a:r>
          <a:r>
            <a:rPr lang="en-ID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LAPORAN PENJUALAN</a:t>
          </a:r>
          <a:r>
            <a:rPr lang="en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lvl="0" rtl="0"/>
          <a:r>
            <a:rPr lang="en-ID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Keamanan Data:</a:t>
          </a:r>
          <a:r>
            <a:rPr lang="en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Jika Tutup Buku bulan ini sudah pernah dilakukan, sistem akan </a:t>
          </a:r>
          <a:r>
            <a:rPr lang="en-ID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menolak otomatis</a:t>
          </a:r>
          <a:r>
            <a:rPr lang="en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agar file laporan lama tidak tertimpa atau hilang.</a:t>
          </a:r>
        </a:p>
        <a:p>
          <a:pPr lvl="0" rtl="0"/>
          <a:r>
            <a:rPr lang="en-ID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Pembersihan Data:</a:t>
          </a:r>
          <a:r>
            <a:rPr lang="en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Sisa stok bulan ini otomatis menjadi modal awal bulan depan, lalu catatan belanja dan penjualan akan dikosongkan untuk memulai bulan baru.</a:t>
          </a:r>
        </a:p>
        <a:p>
          <a:pPr lvl="0" rtl="0"/>
          <a:r>
            <a:rPr lang="en-ID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Akses File:</a:t>
          </a:r>
          <a:r>
            <a:rPr lang="en-ID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Setelah selesai, kamu bisa langsung membuka folder tempat file laporan disimpan.</a:t>
          </a:r>
        </a:p>
      </xdr:txBody>
    </xdr:sp>
    <xdr:clientData/>
  </xdr:oneCellAnchor>
  <xdr:twoCellAnchor>
    <xdr:from>
      <xdr:col>6</xdr:col>
      <xdr:colOff>25400</xdr:colOff>
      <xdr:row>21</xdr:row>
      <xdr:rowOff>25400</xdr:rowOff>
    </xdr:from>
    <xdr:to>
      <xdr:col>6</xdr:col>
      <xdr:colOff>1416050</xdr:colOff>
      <xdr:row>21</xdr:row>
      <xdr:rowOff>342900</xdr:rowOff>
    </xdr:to>
    <xdr:sp macro="[0]!SimpanBelanjaBahan" textlink="">
      <xdr:nvSpPr>
        <xdr:cNvPr id="6" name="btnSimpanBelanjaBahan">
          <a:extLst>
            <a:ext uri="{FF2B5EF4-FFF2-40B4-BE49-F238E27FC236}">
              <a16:creationId xmlns:a16="http://schemas.microsoft.com/office/drawing/2014/main" id="{1CEEBEC5-7DA0-2DB0-EDC9-780A758B9AE8}"/>
            </a:ext>
          </a:extLst>
        </xdr:cNvPr>
        <xdr:cNvSpPr/>
      </xdr:nvSpPr>
      <xdr:spPr>
        <a:xfrm>
          <a:off x="8394700" y="7645400"/>
          <a:ext cx="1390650" cy="317500"/>
        </a:xfrm>
        <a:prstGeom prst="roundRect">
          <a:avLst/>
        </a:prstGeom>
        <a:solidFill>
          <a:srgbClr val="00704A"/>
        </a:solidFill>
        <a:ln>
          <a:solidFill>
            <a:srgbClr val="00503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000" b="1">
              <a:solidFill>
                <a:srgbClr val="FFFFFF"/>
              </a:solidFill>
            </a:rPr>
            <a:t>SIMPAN BELANJA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CAB9B7-BC8A-4C4E-B46A-D80F17A05C1D}" name="tblDetailHPP" displayName="tblDetailHPP" ref="A1:M368" totalsRowShown="0" headerRowDxfId="36" dataDxfId="35">
  <autoFilter ref="A1:M368" xr:uid="{5ECAB9B7-BC8A-4C4E-B46A-D80F17A05C1D}"/>
  <sortState xmlns:xlrd2="http://schemas.microsoft.com/office/spreadsheetml/2017/richdata2" ref="A2:M368">
    <sortCondition ref="B1:B368"/>
  </sortState>
  <tableColumns count="13">
    <tableColumn id="1" xr3:uid="{F28BF320-CC5D-4327-9471-2B2427D83378}" name="KODE PRODUK" dataDxfId="34"/>
    <tableColumn id="2" xr3:uid="{E4354E65-EF27-40CC-A26D-896732ECF42A}" name="NAMA PRODUK" dataDxfId="33">
      <calculatedColumnFormula>IFERROR(INDEX(tbl_Produk[NAMA PRODUK],MATCH(tblDetailHPP[[#This Row],[KODE PRODUK]],tbl_Produk[KODE PRODUK],0)),"")</calculatedColumnFormula>
    </tableColumn>
    <tableColumn id="3" xr3:uid="{833AEFCB-E5F5-49DC-BAEF-02BFD271D590}" name="JENIS KOMPONEN" dataDxfId="32"/>
    <tableColumn id="4" xr3:uid="{6763DDE4-2BDC-4A3A-B461-B6AE27AD58E6}" name="KODE KOMPONEN" dataDxfId="31"/>
    <tableColumn id="5" xr3:uid="{6DA73ACA-9D31-4416-B6E5-4359056D52EB}" name="KATEGORI HPP" dataDxfId="30">
      <calculatedColumnFormula>IF(tblDetailHPP[[#This Row],[KODE KOMPONEN]]="","",IFERROR(INDEX(tbl_BahanBaku[KATEGORI HPP],MATCH(tblDetailHPP[[#This Row],[KODE KOMPONEN]],tbl_BahanBaku[KODE KOMPONEN],0)),""))</calculatedColumnFormula>
    </tableColumn>
    <tableColumn id="6" xr3:uid="{248D3A4B-0574-4540-AB20-8F52FC03E7C5}" name="NAMA KOMPONEN" dataDxfId="29">
      <calculatedColumnFormula>IF(tblDetailHPP[[#This Row],[KODE KOMPONEN]]="","",IFERROR(INDEX(tbl_BahanBaku[NAMA KOMPONEN],MATCH(tblDetailHPP[[#This Row],[KODE KOMPONEN]],tbl_BahanBaku[KODE KOMPONEN],0)),""))</calculatedColumnFormula>
    </tableColumn>
    <tableColumn id="7" xr3:uid="{D2C691AB-A0E7-4694-9612-CD51500093A3}" name="QTY PAKAI" dataDxfId="28"/>
    <tableColumn id="8" xr3:uid="{28949BAF-B58A-4992-A83E-3B773B8D3BF3}" name="SATUAN PAKAI" dataDxfId="27"/>
    <tableColumn id="9" xr3:uid="{00D281E7-5AA8-4822-815B-F4A3D02A059E}" name="HARGA PER SATUAN DASAR" dataDxfId="26">
      <calculatedColumnFormula>IF(tblDetailHPP[[#This Row],[KODE KOMPONEN]]="","",IFERROR(INDEX(tbl_BahanBaku[HARGA PER SATUAN DASAR],MATCH(tblDetailHPP[[#This Row],[KODE KOMPONEN]],tbl_BahanBaku[KODE KOMPONEN],0)),""))</calculatedColumnFormula>
    </tableColumn>
    <tableColumn id="10" xr3:uid="{22623153-D984-48CB-B8A8-C9EA08AC7736}" name="BIAYA PEMAKAIAN" dataDxfId="25">
      <calculatedColumnFormula>IF(tblDetailHPP[[#This Row],[KODE KOMPONEN]]="","",IF(tblDetailHPP[[#This Row],[STATUS HARGA]]="OK",ROUND(tblDetailHPP[[#This Row],[QTY PAKAI]]*tblDetailHPP[[#This Row],[HARGA PER SATUAN DASAR]],2),""))</calculatedColumnFormula>
    </tableColumn>
    <tableColumn id="11" xr3:uid="{5901105C-1D42-4372-8032-861707B98DD4}" name="STATUS HARGA" dataDxfId="24">
      <calculatedColumnFormula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calculatedColumnFormula>
    </tableColumn>
    <tableColumn id="12" xr3:uid="{DC03707E-D2E6-4AC3-BD19-5A054B7375A7}" name="QTY TERJUAL" dataDxfId="23">
      <calculatedColumnFormula>IF(tblDetailHPP[[#This Row],[KODE PRODUK]]="",0,IFERROR(INDEX('PENJUALAN (QTY)'!$AH$3:$AH$500,MATCH(tblDetailHPP[[#This Row],[KODE PRODUK]],'PENJUALAN (QTY)'!$A$3:$A$500,0)),0))</calculatedColumnFormula>
    </tableColumn>
    <tableColumn id="13" xr3:uid="{991F9481-0B0A-44B5-A916-316DEB2B6811}" name="HPP TERJUAL PER KOMPONEN" dataDxfId="22">
      <calculatedColumnFormula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E3F87A-D733-4A43-BA2F-1A19A82D8856}" name="tbl_BahanBaku" displayName="tbl_BahanBaku" ref="A1:H72" totalsRowShown="0" headerRowDxfId="21">
  <autoFilter ref="A1:H72" xr:uid="{DEE3F87A-D733-4A43-BA2F-1A19A82D8856}"/>
  <tableColumns count="8">
    <tableColumn id="2" xr3:uid="{CB155A84-D637-4297-8C72-A34E01EADA97}" name="KODE KOMPONEN" dataDxfId="20"/>
    <tableColumn id="1" xr3:uid="{5B5CB878-E236-40F0-A326-F76E77C9EA1E}" name="KATEGORI HPP" dataDxfId="19"/>
    <tableColumn id="3" xr3:uid="{B7F09E58-3CA7-4010-B039-035D39C0A4F4}" name="NAMA KOMPONEN" dataDxfId="18"/>
    <tableColumn id="4" xr3:uid="{BF8A2643-4CCB-4D1B-AA50-8A934BF235DF}" name="KUANTITAS ISI" dataDxfId="17"/>
    <tableColumn id="5" xr3:uid="{CDF64BDA-4EC6-417A-8459-FD430919A4FD}" name="SATUAN ISI"/>
    <tableColumn id="6" xr3:uid="{B8F98571-8635-4F4E-9860-9BD56BB67841}" name="HARGA BELI TOTAL" dataDxfId="16"/>
    <tableColumn id="7" xr3:uid="{4B2B5884-0A98-4AF5-95B1-EBB2F2D8EE19}" name="HARGA PER SATUAN DASAR" dataDxfId="15">
      <calculatedColumnFormula>IFERROR(tbl_BahanBaku[[#This Row],[HARGA BELI TOTAL]]/tbl_BahanBaku[[#This Row],[KUANTITAS ISI]], 0)</calculatedColumnFormula>
    </tableColumn>
    <tableColumn id="8" xr3:uid="{F6EA8EF6-39B2-4123-BC5F-FF30928D8324}" name="KETERANGAN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B1A55E-33D8-48E3-BDF5-9BE392C9F6F5}" name="tbl_Produk" displayName="tbl_Produk" ref="A1:J32" totalsRowShown="0" headerRowDxfId="13">
  <autoFilter ref="A1:J32" xr:uid="{E3B1A55E-33D8-48E3-BDF5-9BE392C9F6F5}"/>
  <sortState xmlns:xlrd2="http://schemas.microsoft.com/office/spreadsheetml/2017/richdata2" ref="A2:F32">
    <sortCondition ref="B1:B32"/>
  </sortState>
  <tableColumns count="10">
    <tableColumn id="1" xr3:uid="{B5A76A95-9EFA-49B8-B706-C9A5DD077508}" name="KODE PRODUK" dataDxfId="12"/>
    <tableColumn id="2" xr3:uid="{5272F50A-0C56-4C19-93F5-F27A5A70CD33}" name="NAMA PRODUK" dataDxfId="11"/>
    <tableColumn id="3" xr3:uid="{D66257E6-E495-4636-8B53-DD26CDE20AAD}" name="HARGA JUAL OFFLINE" dataDxfId="10"/>
    <tableColumn id="4" xr3:uid="{C72021FB-F21A-4115-A696-343D02EF92A4}" name="HPP PER UNIT" dataDxfId="9">
      <calculatedColumnFormula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calculatedColumnFormula>
    </tableColumn>
    <tableColumn id="6" xr3:uid="{7E2162CE-75DE-4DED-BF57-A3750F65BC74}" name="LABA PER UNIT (RP)" dataDxfId="8">
      <calculatedColumnFormula>IF(OR(NOT(ISNUMBER(tbl_Produk[[#This Row],[HPP PER UNIT]])),tbl_Produk[[#This Row],[HARGA JUAL OFFLINE]]=""),"",tbl_Produk[[#This Row],[HARGA JUAL OFFLINE]]-tbl_Produk[[#This Row],[HPP PER UNIT]])</calculatedColumnFormula>
    </tableColumn>
    <tableColumn id="5" xr3:uid="{91264146-1158-4126-A61A-4B8431E27EE6}" name="MARGIN LABA (%)" dataDxfId="7">
      <calculatedColumnFormula>IF(OR(NOT(ISNUMBER(tbl_Produk[[#This Row],[HPP PER UNIT]])),tbl_Produk[[#This Row],[HARGA JUAL OFFLINE]]&lt;=0),"",IFERROR(tbl_Produk[[#This Row],[LABA PER UNIT (RP)]]/tbl_Produk[[#This Row],[HARGA JUAL OFFLINE]],""))</calculatedColumnFormula>
    </tableColumn>
    <tableColumn id="7" xr3:uid="{0001747F-CBC2-4421-9E25-24025997F90A}" name="KOMISI ONLINE (%)" dataDxfId="6"/>
    <tableColumn id="8" xr3:uid="{18F7951F-2F79-485B-9AF3-B38750ED0603}" name="PROMO MERCHANT (%)" dataDxfId="5"/>
    <tableColumn id="9" xr3:uid="{AAF22D88-E4C1-425C-A971-22E2D73E5D8C}" name="HARGA CORET ONLINE" dataDxfId="4">
      <calculatedColumnFormula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calculatedColumnFormula>
    </tableColumn>
    <tableColumn id="10" xr3:uid="{8710B781-5A0F-47F9-996C-AE5F9433B474}" name="HARGA SETELAH PROMO" dataDxfId="3">
      <calculatedColumnFormula>IF(OR(tbl_Produk[[#This Row],[HARGA CORET ONLINE]]="",tbl_Produk[[#This Row],[PROMO MERCHANT (%)]]=""),"",IFERROR(tbl_Produk[[#This Row],[HARGA CORET ONLINE]]*(1-tbl_Produk[[#This Row],[PROMO MERCHANT (%)]]),""))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A77337C-6CD5-41DA-A827-1DC6175FCB31}" name="tblLogBelanja" displayName="tblLogBelanja" ref="A24:G50" totalsRowShown="0" headerRowDxfId="41">
  <autoFilter ref="A24:G50" xr:uid="{7A77337C-6CD5-41DA-A827-1DC6175FCB31}"/>
  <sortState xmlns:xlrd2="http://schemas.microsoft.com/office/spreadsheetml/2017/richdata2" ref="A25:G50">
    <sortCondition descending="1" ref="A24:A50"/>
  </sortState>
  <tableColumns count="7">
    <tableColumn id="1" xr3:uid="{5526AEB2-11F8-4605-8D77-F52B19313B8A}" name="TANGGAL" dataDxfId="40"/>
    <tableColumn id="2" xr3:uid="{20B556BC-C1AB-4101-A9D3-47808B29A0DC}" name="NO NOTA/TOKO"/>
    <tableColumn id="3" xr3:uid="{A951718F-3DF3-44FF-ADD0-BC561AC0A882}" name="KODE BAHAN"/>
    <tableColumn id="4" xr3:uid="{02C93035-1AAA-4F10-B140-8E16AEF650FC}" name="NAMA BAHAN"/>
    <tableColumn id="5" xr3:uid="{229760CF-5802-42F4-BA7B-8308204682C7}" name="QTY BELI" dataDxfId="39"/>
    <tableColumn id="6" xr3:uid="{01F8EFEC-A522-42F3-A5AC-DBA7F19C2DD5}" name="SATUAN"/>
    <tableColumn id="7" xr3:uid="{13A2BDE5-4015-451D-8304-0346B21FECB7}" name="TOTAL BELANJA (RP)" dataDxfId="3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119DE-B879-46A4-A23F-EC8A29D0C386}">
  <sheetPr codeName="Sheet9"/>
  <dimension ref="A1:M36"/>
  <sheetViews>
    <sheetView zoomScale="75" zoomScaleNormal="75" workbookViewId="0">
      <pane ySplit="8" topLeftCell="A19" activePane="bottomLeft" state="frozen"/>
      <selection pane="bottomLeft" activeCell="F14" sqref="F14"/>
    </sheetView>
  </sheetViews>
  <sheetFormatPr defaultRowHeight="14.5"/>
  <cols>
    <col min="1" max="1" width="18.6328125" customWidth="1"/>
    <col min="2" max="2" width="30.6328125" customWidth="1"/>
    <col min="3" max="3" width="18.6328125" customWidth="1"/>
    <col min="4" max="4" width="28.6328125" customWidth="1"/>
    <col min="5" max="5" width="13.6328125" customWidth="1"/>
    <col min="6" max="6" width="16.6328125" customWidth="1"/>
    <col min="7" max="7" width="23.6328125" customWidth="1"/>
    <col min="8" max="8" width="20.6328125" customWidth="1"/>
    <col min="9" max="9" width="30.6328125" customWidth="1"/>
    <col min="10" max="10" width="3.6328125" customWidth="1"/>
    <col min="11" max="11" width="18.6328125" customWidth="1"/>
  </cols>
  <sheetData>
    <row r="1" spans="1:13" ht="32" customHeight="1">
      <c r="A1" s="132" t="s">
        <v>356</v>
      </c>
      <c r="B1" s="132"/>
      <c r="C1" s="132"/>
      <c r="D1" s="132"/>
      <c r="E1" s="132"/>
      <c r="F1" s="132"/>
      <c r="G1" s="132"/>
      <c r="H1" s="132"/>
      <c r="I1" s="132"/>
      <c r="K1" s="130" t="s">
        <v>360</v>
      </c>
      <c r="L1" s="130"/>
      <c r="M1" s="130"/>
    </row>
    <row r="2" spans="1:13" ht="30" customHeight="1">
      <c r="A2" s="133" t="s">
        <v>357</v>
      </c>
      <c r="B2" s="133"/>
      <c r="C2" s="133"/>
      <c r="D2" s="133"/>
      <c r="E2" s="133"/>
      <c r="F2" s="133"/>
      <c r="G2" s="133"/>
      <c r="H2" s="133"/>
      <c r="I2" s="133"/>
    </row>
    <row r="3" spans="1:13" ht="32" customHeight="1">
      <c r="A3" s="90" t="s">
        <v>342</v>
      </c>
      <c r="B3" s="134"/>
      <c r="C3" s="134"/>
      <c r="D3" s="134"/>
      <c r="E3" s="90" t="s">
        <v>341</v>
      </c>
      <c r="F3" s="134" t="str">
        <f>IF(B3="","",IFERROR(INDEX(tbl_Produk[KODE PRODUK],MATCH(B3,tbl_Produk[NAMA PRODUK],0)),""))</f>
        <v/>
      </c>
      <c r="G3" s="134"/>
      <c r="H3" s="90" t="s">
        <v>358</v>
      </c>
      <c r="I3" s="91" t="str">
        <f>IF(B3="","PILIH PRODUK DARI DROPDOWN",IF(F3="","TIDAK ADA PRODUK VALID / PERIKSA MASTER",IF(COUNTIF(HPPProdukBaru,B3)&gt;0,"SIAP DIINPUT","RESEP SUDAH ADA / PILIH PRODUK LAIN")))</f>
        <v>PILIH PRODUK DARI DROPDOWN</v>
      </c>
    </row>
    <row r="5" spans="1:13" ht="32" customHeight="1">
      <c r="A5" s="135" t="s">
        <v>362</v>
      </c>
      <c r="B5" s="135"/>
      <c r="C5" s="135"/>
      <c r="D5" s="135"/>
      <c r="E5" s="135"/>
      <c r="F5" s="135"/>
      <c r="G5" s="135"/>
      <c r="H5" s="135"/>
      <c r="I5" s="135"/>
    </row>
    <row r="7" spans="1:13" ht="15.5">
      <c r="A7" s="136" t="s">
        <v>359</v>
      </c>
      <c r="B7" s="136"/>
      <c r="C7" s="136"/>
      <c r="D7" s="136"/>
      <c r="E7" s="136"/>
      <c r="F7" s="136"/>
      <c r="G7" s="136"/>
      <c r="H7" s="136"/>
      <c r="I7" s="136"/>
    </row>
    <row r="8" spans="1:13" ht="34" customHeight="1">
      <c r="A8" s="97" t="s">
        <v>346</v>
      </c>
      <c r="B8" s="97" t="s">
        <v>336</v>
      </c>
      <c r="C8" s="97" t="s">
        <v>335</v>
      </c>
      <c r="D8" s="97" t="s">
        <v>334</v>
      </c>
      <c r="E8" s="97" t="s">
        <v>347</v>
      </c>
      <c r="F8" s="97" t="s">
        <v>348</v>
      </c>
      <c r="G8" s="97" t="s">
        <v>340</v>
      </c>
      <c r="H8" s="97" t="s">
        <v>349</v>
      </c>
      <c r="I8" s="97" t="s">
        <v>350</v>
      </c>
    </row>
    <row r="9" spans="1:13" ht="22" customHeight="1">
      <c r="A9" s="95"/>
      <c r="B9" s="34"/>
      <c r="C9" s="98" t="str">
        <f>IF(B9="","",IFERROR(INDEX(tbl_BahanBaku[KODE KOMPONEN],MATCH(B9,tbl_BahanBaku[NAMA KOMPONEN],0)),""))</f>
        <v/>
      </c>
      <c r="D9" s="98" t="str">
        <f>IF(B9="","",IFERROR(INDEX(tbl_BahanBaku[KATEGORI HPP],MATCH(C9,tbl_BahanBaku[KODE KOMPONEN],0)),""))</f>
        <v/>
      </c>
      <c r="E9" s="88"/>
      <c r="F9" s="34"/>
      <c r="G9" s="99" t="str">
        <f>IF(B9="","",IFERROR(INDEX(tbl_BahanBaku[HARGA PER SATUAN DASAR],MATCH(C9,tbl_BahanBaku[KODE KOMPONEN],0)),""))</f>
        <v/>
      </c>
      <c r="H9" s="99" t="str">
        <f t="shared" ref="H9:H33" si="0">IF(OR(B9="",E9="",G9="",NOT(ISNUMBER(E9))),"",ROUND(E9*G9,2))</f>
        <v/>
      </c>
      <c r="I9" s="100" t="str">
        <f>IF(B9="","",IF(OR(E9="",NOT(ISNUMBER(E9)),E9&lt;=0,F9=""),"QTY/SATUAN BELUM VALID",IF(COUNTIF(tbl_BahanBaku[KODE KOMPONEN],C9)=0,"BAHAN TIDAK TERDAFTAR",IF(OR(IFERROR(INDEX(tbl_BahanBaku[KUANTITAS ISI],MATCH(C9,tbl_BahanBaku[KODE KOMPONEN],0)),0)&lt;=0,IFERROR(INDEX(tbl_BahanBaku[HARGA BELI TOTAL],MATCH(C9,tbl_BahanBaku[KODE KOMPONEN],0)),0)&lt;=0),"HARGA BELUM TERSEDIA",IF(F9&lt;&gt;IFERROR(INDEX(tbl_BahanBaku[SATUAN ISI],MATCH(C9,tbl_BahanBaku[KODE KOMPONEN],0)),""),"PERIKSA SATUAN","OK")))))</f>
        <v/>
      </c>
    </row>
    <row r="10" spans="1:13" ht="22" customHeight="1">
      <c r="A10" s="95"/>
      <c r="B10" s="34"/>
      <c r="C10" s="98" t="str">
        <f>IF(B10="","",IFERROR(INDEX(tbl_BahanBaku[KODE KOMPONEN],MATCH(B10,tbl_BahanBaku[NAMA KOMPONEN],0)),""))</f>
        <v/>
      </c>
      <c r="D10" s="98" t="str">
        <f>IF(B10="","",IFERROR(INDEX(tbl_BahanBaku[KATEGORI HPP],MATCH(C10,tbl_BahanBaku[KODE KOMPONEN],0)),""))</f>
        <v/>
      </c>
      <c r="E10" s="88"/>
      <c r="F10" s="34"/>
      <c r="G10" s="99" t="str">
        <f>IF(B10="","",IFERROR(INDEX(tbl_BahanBaku[HARGA PER SATUAN DASAR],MATCH(C10,tbl_BahanBaku[KODE KOMPONEN],0)),""))</f>
        <v/>
      </c>
      <c r="H10" s="99" t="str">
        <f t="shared" si="0"/>
        <v/>
      </c>
      <c r="I10" s="100" t="str">
        <f>IF(B10="","",IF(OR(E10="",NOT(ISNUMBER(E10)),E10&lt;=0,F10=""),"QTY/SATUAN BELUM VALID",IF(COUNTIF(tbl_BahanBaku[KODE KOMPONEN],C10)=0,"BAHAN TIDAK TERDAFTAR",IF(OR(IFERROR(INDEX(tbl_BahanBaku[KUANTITAS ISI],MATCH(C10,tbl_BahanBaku[KODE KOMPONEN],0)),0)&lt;=0,IFERROR(INDEX(tbl_BahanBaku[HARGA BELI TOTAL],MATCH(C10,tbl_BahanBaku[KODE KOMPONEN],0)),0)&lt;=0),"HARGA BELUM TERSEDIA",IF(F10&lt;&gt;IFERROR(INDEX(tbl_BahanBaku[SATUAN ISI],MATCH(C10,tbl_BahanBaku[KODE KOMPONEN],0)),""),"PERIKSA SATUAN","OK")))))</f>
        <v/>
      </c>
      <c r="K10" s="131" t="s">
        <v>361</v>
      </c>
      <c r="L10" s="131"/>
      <c r="M10" s="131"/>
    </row>
    <row r="11" spans="1:13" ht="22" customHeight="1">
      <c r="A11" s="95"/>
      <c r="B11" s="34"/>
      <c r="C11" s="98" t="str">
        <f>IF(B11="","",IFERROR(INDEX(tbl_BahanBaku[KODE KOMPONEN],MATCH(B11,tbl_BahanBaku[NAMA KOMPONEN],0)),""))</f>
        <v/>
      </c>
      <c r="D11" s="98" t="str">
        <f>IF(B11="","",IFERROR(INDEX(tbl_BahanBaku[KATEGORI HPP],MATCH(C11,tbl_BahanBaku[KODE KOMPONEN],0)),""))</f>
        <v/>
      </c>
      <c r="E11" s="88"/>
      <c r="F11" s="34"/>
      <c r="G11" s="99" t="str">
        <f>IF(B11="","",IFERROR(INDEX(tbl_BahanBaku[HARGA PER SATUAN DASAR],MATCH(C11,tbl_BahanBaku[KODE KOMPONEN],0)),""))</f>
        <v/>
      </c>
      <c r="H11" s="99" t="str">
        <f t="shared" si="0"/>
        <v/>
      </c>
      <c r="I11" s="100" t="str">
        <f>IF(B11="","",IF(OR(E11="",NOT(ISNUMBER(E11)),E11&lt;=0,F11=""),"QTY/SATUAN BELUM VALID",IF(COUNTIF(tbl_BahanBaku[KODE KOMPONEN],C11)=0,"BAHAN TIDAK TERDAFTAR",IF(OR(IFERROR(INDEX(tbl_BahanBaku[KUANTITAS ISI],MATCH(C11,tbl_BahanBaku[KODE KOMPONEN],0)),0)&lt;=0,IFERROR(INDEX(tbl_BahanBaku[HARGA BELI TOTAL],MATCH(C11,tbl_BahanBaku[KODE KOMPONEN],0)),0)&lt;=0),"HARGA BELUM TERSEDIA",IF(F11&lt;&gt;IFERROR(INDEX(tbl_BahanBaku[SATUAN ISI],MATCH(C11,tbl_BahanBaku[KODE KOMPONEN],0)),""),"PERIKSA SATUAN","OK")))))</f>
        <v/>
      </c>
      <c r="K11" s="131"/>
      <c r="L11" s="131"/>
      <c r="M11" s="131"/>
    </row>
    <row r="12" spans="1:13" ht="22" customHeight="1">
      <c r="A12" s="95"/>
      <c r="B12" s="34"/>
      <c r="C12" s="98" t="str">
        <f>IF(B12="","",IFERROR(INDEX(tbl_BahanBaku[KODE KOMPONEN],MATCH(B12,tbl_BahanBaku[NAMA KOMPONEN],0)),""))</f>
        <v/>
      </c>
      <c r="D12" s="98" t="str">
        <f>IF(B12="","",IFERROR(INDEX(tbl_BahanBaku[KATEGORI HPP],MATCH(C12,tbl_BahanBaku[KODE KOMPONEN],0)),""))</f>
        <v/>
      </c>
      <c r="E12" s="88"/>
      <c r="F12" s="34"/>
      <c r="G12" s="99" t="str">
        <f>IF(B12="","",IFERROR(INDEX(tbl_BahanBaku[HARGA PER SATUAN DASAR],MATCH(C12,tbl_BahanBaku[KODE KOMPONEN],0)),""))</f>
        <v/>
      </c>
      <c r="H12" s="99" t="str">
        <f t="shared" si="0"/>
        <v/>
      </c>
      <c r="I12" s="100" t="str">
        <f>IF(B12="","",IF(OR(E12="",NOT(ISNUMBER(E12)),E12&lt;=0,F12=""),"QTY/SATUAN BELUM VALID",IF(COUNTIF(tbl_BahanBaku[KODE KOMPONEN],C12)=0,"BAHAN TIDAK TERDAFTAR",IF(OR(IFERROR(INDEX(tbl_BahanBaku[KUANTITAS ISI],MATCH(C12,tbl_BahanBaku[KODE KOMPONEN],0)),0)&lt;=0,IFERROR(INDEX(tbl_BahanBaku[HARGA BELI TOTAL],MATCH(C12,tbl_BahanBaku[KODE KOMPONEN],0)),0)&lt;=0),"HARGA BELUM TERSEDIA",IF(F12&lt;&gt;IFERROR(INDEX(tbl_BahanBaku[SATUAN ISI],MATCH(C12,tbl_BahanBaku[KODE KOMPONEN],0)),""),"PERIKSA SATUAN","OK")))))</f>
        <v/>
      </c>
      <c r="K12" s="131"/>
      <c r="L12" s="131"/>
      <c r="M12" s="131"/>
    </row>
    <row r="13" spans="1:13" ht="22" customHeight="1">
      <c r="A13" s="95"/>
      <c r="B13" s="34"/>
      <c r="C13" s="98" t="str">
        <f>IF(B13="","",IFERROR(INDEX(tbl_BahanBaku[KODE KOMPONEN],MATCH(B13,tbl_BahanBaku[NAMA KOMPONEN],0)),""))</f>
        <v/>
      </c>
      <c r="D13" s="98" t="str">
        <f>IF(B13="","",IFERROR(INDEX(tbl_BahanBaku[KATEGORI HPP],MATCH(C13,tbl_BahanBaku[KODE KOMPONEN],0)),""))</f>
        <v/>
      </c>
      <c r="E13" s="88"/>
      <c r="F13" s="34"/>
      <c r="G13" s="99" t="str">
        <f>IF(B13="","",IFERROR(INDEX(tbl_BahanBaku[HARGA PER SATUAN DASAR],MATCH(C13,tbl_BahanBaku[KODE KOMPONEN],0)),""))</f>
        <v/>
      </c>
      <c r="H13" s="99" t="str">
        <f t="shared" si="0"/>
        <v/>
      </c>
      <c r="I13" s="100" t="str">
        <f>IF(B13="","",IF(OR(E13="",NOT(ISNUMBER(E13)),E13&lt;=0,F13=""),"QTY/SATUAN BELUM VALID",IF(COUNTIF(tbl_BahanBaku[KODE KOMPONEN],C13)=0,"BAHAN TIDAK TERDAFTAR",IF(OR(IFERROR(INDEX(tbl_BahanBaku[KUANTITAS ISI],MATCH(C13,tbl_BahanBaku[KODE KOMPONEN],0)),0)&lt;=0,IFERROR(INDEX(tbl_BahanBaku[HARGA BELI TOTAL],MATCH(C13,tbl_BahanBaku[KODE KOMPONEN],0)),0)&lt;=0),"HARGA BELUM TERSEDIA",IF(F13&lt;&gt;IFERROR(INDEX(tbl_BahanBaku[SATUAN ISI],MATCH(C13,tbl_BahanBaku[KODE KOMPONEN],0)),""),"PERIKSA SATUAN","OK")))))</f>
        <v/>
      </c>
      <c r="K13" s="131"/>
      <c r="L13" s="131"/>
      <c r="M13" s="131"/>
    </row>
    <row r="14" spans="1:13" ht="22" customHeight="1">
      <c r="A14" s="95"/>
      <c r="B14" s="34"/>
      <c r="C14" s="98" t="str">
        <f>IF(B14="","",IFERROR(INDEX(tbl_BahanBaku[KODE KOMPONEN],MATCH(B14,tbl_BahanBaku[NAMA KOMPONEN],0)),""))</f>
        <v/>
      </c>
      <c r="D14" s="98" t="str">
        <f>IF(B14="","",IFERROR(INDEX(tbl_BahanBaku[KATEGORI HPP],MATCH(C14,tbl_BahanBaku[KODE KOMPONEN],0)),""))</f>
        <v/>
      </c>
      <c r="E14" s="88"/>
      <c r="F14" s="34"/>
      <c r="G14" s="99" t="str">
        <f>IF(B14="","",IFERROR(INDEX(tbl_BahanBaku[HARGA PER SATUAN DASAR],MATCH(C14,tbl_BahanBaku[KODE KOMPONEN],0)),""))</f>
        <v/>
      </c>
      <c r="H14" s="99" t="str">
        <f t="shared" si="0"/>
        <v/>
      </c>
      <c r="I14" s="100" t="str">
        <f>IF(B14="","",IF(OR(E14="",NOT(ISNUMBER(E14)),E14&lt;=0,F14=""),"QTY/SATUAN BELUM VALID",IF(COUNTIF(tbl_BahanBaku[KODE KOMPONEN],C14)=0,"BAHAN TIDAK TERDAFTAR",IF(OR(IFERROR(INDEX(tbl_BahanBaku[KUANTITAS ISI],MATCH(C14,tbl_BahanBaku[KODE KOMPONEN],0)),0)&lt;=0,IFERROR(INDEX(tbl_BahanBaku[HARGA BELI TOTAL],MATCH(C14,tbl_BahanBaku[KODE KOMPONEN],0)),0)&lt;=0),"HARGA BELUM TERSEDIA",IF(F14&lt;&gt;IFERROR(INDEX(tbl_BahanBaku[SATUAN ISI],MATCH(C14,tbl_BahanBaku[KODE KOMPONEN],0)),""),"PERIKSA SATUAN","OK")))))</f>
        <v/>
      </c>
      <c r="K14" s="131"/>
      <c r="L14" s="131"/>
      <c r="M14" s="131"/>
    </row>
    <row r="15" spans="1:13" ht="22" customHeight="1">
      <c r="A15" s="95"/>
      <c r="B15" s="34"/>
      <c r="C15" s="98" t="str">
        <f>IF(B15="","",IFERROR(INDEX(tbl_BahanBaku[KODE KOMPONEN],MATCH(B15,tbl_BahanBaku[NAMA KOMPONEN],0)),""))</f>
        <v/>
      </c>
      <c r="D15" s="98" t="str">
        <f>IF(B15="","",IFERROR(INDEX(tbl_BahanBaku[KATEGORI HPP],MATCH(C15,tbl_BahanBaku[KODE KOMPONEN],0)),""))</f>
        <v/>
      </c>
      <c r="E15" s="88"/>
      <c r="F15" s="34"/>
      <c r="G15" s="99" t="str">
        <f>IF(B15="","",IFERROR(INDEX(tbl_BahanBaku[HARGA PER SATUAN DASAR],MATCH(C15,tbl_BahanBaku[KODE KOMPONEN],0)),""))</f>
        <v/>
      </c>
      <c r="H15" s="99" t="str">
        <f t="shared" si="0"/>
        <v/>
      </c>
      <c r="I15" s="100" t="str">
        <f>IF(B15="","",IF(OR(E15="",NOT(ISNUMBER(E15)),E15&lt;=0,F15=""),"QTY/SATUAN BELUM VALID",IF(COUNTIF(tbl_BahanBaku[KODE KOMPONEN],C15)=0,"BAHAN TIDAK TERDAFTAR",IF(OR(IFERROR(INDEX(tbl_BahanBaku[KUANTITAS ISI],MATCH(C15,tbl_BahanBaku[KODE KOMPONEN],0)),0)&lt;=0,IFERROR(INDEX(tbl_BahanBaku[HARGA BELI TOTAL],MATCH(C15,tbl_BahanBaku[KODE KOMPONEN],0)),0)&lt;=0),"HARGA BELUM TERSEDIA",IF(F15&lt;&gt;IFERROR(INDEX(tbl_BahanBaku[SATUAN ISI],MATCH(C15,tbl_BahanBaku[KODE KOMPONEN],0)),""),"PERIKSA SATUAN","OK")))))</f>
        <v/>
      </c>
      <c r="K15" s="131"/>
      <c r="L15" s="131"/>
      <c r="M15" s="131"/>
    </row>
    <row r="16" spans="1:13" ht="22" customHeight="1">
      <c r="A16" s="95"/>
      <c r="B16" s="34"/>
      <c r="C16" s="98" t="str">
        <f>IF(B16="","",IFERROR(INDEX(tbl_BahanBaku[KODE KOMPONEN],MATCH(B16,tbl_BahanBaku[NAMA KOMPONEN],0)),""))</f>
        <v/>
      </c>
      <c r="D16" s="98" t="str">
        <f>IF(B16="","",IFERROR(INDEX(tbl_BahanBaku[KATEGORI HPP],MATCH(C16,tbl_BahanBaku[KODE KOMPONEN],0)),""))</f>
        <v/>
      </c>
      <c r="E16" s="88"/>
      <c r="F16" s="34"/>
      <c r="G16" s="99" t="str">
        <f>IF(B16="","",IFERROR(INDEX(tbl_BahanBaku[HARGA PER SATUAN DASAR],MATCH(C16,tbl_BahanBaku[KODE KOMPONEN],0)),""))</f>
        <v/>
      </c>
      <c r="H16" s="99" t="str">
        <f t="shared" si="0"/>
        <v/>
      </c>
      <c r="I16" s="100" t="str">
        <f>IF(B16="","",IF(OR(E16="",NOT(ISNUMBER(E16)),E16&lt;=0,F16=""),"QTY/SATUAN BELUM VALID",IF(COUNTIF(tbl_BahanBaku[KODE KOMPONEN],C16)=0,"BAHAN TIDAK TERDAFTAR",IF(OR(IFERROR(INDEX(tbl_BahanBaku[KUANTITAS ISI],MATCH(C16,tbl_BahanBaku[KODE KOMPONEN],0)),0)&lt;=0,IFERROR(INDEX(tbl_BahanBaku[HARGA BELI TOTAL],MATCH(C16,tbl_BahanBaku[KODE KOMPONEN],0)),0)&lt;=0),"HARGA BELUM TERSEDIA",IF(F16&lt;&gt;IFERROR(INDEX(tbl_BahanBaku[SATUAN ISI],MATCH(C16,tbl_BahanBaku[KODE KOMPONEN],0)),""),"PERIKSA SATUAN","OK")))))</f>
        <v/>
      </c>
    </row>
    <row r="17" spans="1:9" ht="22" customHeight="1">
      <c r="A17" s="95"/>
      <c r="B17" s="34"/>
      <c r="C17" s="98" t="str">
        <f>IF(B17="","",IFERROR(INDEX(tbl_BahanBaku[KODE KOMPONEN],MATCH(B17,tbl_BahanBaku[NAMA KOMPONEN],0)),""))</f>
        <v/>
      </c>
      <c r="D17" s="98" t="str">
        <f>IF(B17="","",IFERROR(INDEX(tbl_BahanBaku[KATEGORI HPP],MATCH(C17,tbl_BahanBaku[KODE KOMPONEN],0)),""))</f>
        <v/>
      </c>
      <c r="E17" s="88"/>
      <c r="F17" s="34"/>
      <c r="G17" s="99" t="str">
        <f>IF(B17="","",IFERROR(INDEX(tbl_BahanBaku[HARGA PER SATUAN DASAR],MATCH(C17,tbl_BahanBaku[KODE KOMPONEN],0)),""))</f>
        <v/>
      </c>
      <c r="H17" s="99" t="str">
        <f t="shared" si="0"/>
        <v/>
      </c>
      <c r="I17" s="100" t="str">
        <f>IF(B17="","",IF(OR(E17="",NOT(ISNUMBER(E17)),E17&lt;=0,F17=""),"QTY/SATUAN BELUM VALID",IF(COUNTIF(tbl_BahanBaku[KODE KOMPONEN],C17)=0,"BAHAN TIDAK TERDAFTAR",IF(OR(IFERROR(INDEX(tbl_BahanBaku[KUANTITAS ISI],MATCH(C17,tbl_BahanBaku[KODE KOMPONEN],0)),0)&lt;=0,IFERROR(INDEX(tbl_BahanBaku[HARGA BELI TOTAL],MATCH(C17,tbl_BahanBaku[KODE KOMPONEN],0)),0)&lt;=0),"HARGA BELUM TERSEDIA",IF(F17&lt;&gt;IFERROR(INDEX(tbl_BahanBaku[SATUAN ISI],MATCH(C17,tbl_BahanBaku[KODE KOMPONEN],0)),""),"PERIKSA SATUAN","OK")))))</f>
        <v/>
      </c>
    </row>
    <row r="18" spans="1:9" ht="22" customHeight="1">
      <c r="A18" s="95"/>
      <c r="B18" s="34"/>
      <c r="C18" s="98" t="str">
        <f>IF(B18="","",IFERROR(INDEX(tbl_BahanBaku[KODE KOMPONEN],MATCH(B18,tbl_BahanBaku[NAMA KOMPONEN],0)),""))</f>
        <v/>
      </c>
      <c r="D18" s="98" t="str">
        <f>IF(B18="","",IFERROR(INDEX(tbl_BahanBaku[KATEGORI HPP],MATCH(C18,tbl_BahanBaku[KODE KOMPONEN],0)),""))</f>
        <v/>
      </c>
      <c r="E18" s="88"/>
      <c r="F18" s="34"/>
      <c r="G18" s="99" t="str">
        <f>IF(B18="","",IFERROR(INDEX(tbl_BahanBaku[HARGA PER SATUAN DASAR],MATCH(C18,tbl_BahanBaku[KODE KOMPONEN],0)),""))</f>
        <v/>
      </c>
      <c r="H18" s="99" t="str">
        <f t="shared" si="0"/>
        <v/>
      </c>
      <c r="I18" s="100" t="str">
        <f>IF(B18="","",IF(OR(E18="",NOT(ISNUMBER(E18)),E18&lt;=0,F18=""),"QTY/SATUAN BELUM VALID",IF(COUNTIF(tbl_BahanBaku[KODE KOMPONEN],C18)=0,"BAHAN TIDAK TERDAFTAR",IF(OR(IFERROR(INDEX(tbl_BahanBaku[KUANTITAS ISI],MATCH(C18,tbl_BahanBaku[KODE KOMPONEN],0)),0)&lt;=0,IFERROR(INDEX(tbl_BahanBaku[HARGA BELI TOTAL],MATCH(C18,tbl_BahanBaku[KODE KOMPONEN],0)),0)&lt;=0),"HARGA BELUM TERSEDIA",IF(F18&lt;&gt;IFERROR(INDEX(tbl_BahanBaku[SATUAN ISI],MATCH(C18,tbl_BahanBaku[KODE KOMPONEN],0)),""),"PERIKSA SATUAN","OK")))))</f>
        <v/>
      </c>
    </row>
    <row r="19" spans="1:9" ht="22" customHeight="1">
      <c r="A19" s="95"/>
      <c r="B19" s="34"/>
      <c r="C19" s="98" t="str">
        <f>IF(B19="","",IFERROR(INDEX(tbl_BahanBaku[KODE KOMPONEN],MATCH(B19,tbl_BahanBaku[NAMA KOMPONEN],0)),""))</f>
        <v/>
      </c>
      <c r="D19" s="98" t="str">
        <f>IF(B19="","",IFERROR(INDEX(tbl_BahanBaku[KATEGORI HPP],MATCH(C19,tbl_BahanBaku[KODE KOMPONEN],0)),""))</f>
        <v/>
      </c>
      <c r="E19" s="88"/>
      <c r="F19" s="34"/>
      <c r="G19" s="99" t="str">
        <f>IF(B19="","",IFERROR(INDEX(tbl_BahanBaku[HARGA PER SATUAN DASAR],MATCH(C19,tbl_BahanBaku[KODE KOMPONEN],0)),""))</f>
        <v/>
      </c>
      <c r="H19" s="99" t="str">
        <f t="shared" si="0"/>
        <v/>
      </c>
      <c r="I19" s="100" t="str">
        <f>IF(B19="","",IF(OR(E19="",NOT(ISNUMBER(E19)),E19&lt;=0,F19=""),"QTY/SATUAN BELUM VALID",IF(COUNTIF(tbl_BahanBaku[KODE KOMPONEN],C19)=0,"BAHAN TIDAK TERDAFTAR",IF(OR(IFERROR(INDEX(tbl_BahanBaku[KUANTITAS ISI],MATCH(C19,tbl_BahanBaku[KODE KOMPONEN],0)),0)&lt;=0,IFERROR(INDEX(tbl_BahanBaku[HARGA BELI TOTAL],MATCH(C19,tbl_BahanBaku[KODE KOMPONEN],0)),0)&lt;=0),"HARGA BELUM TERSEDIA",IF(F19&lt;&gt;IFERROR(INDEX(tbl_BahanBaku[SATUAN ISI],MATCH(C19,tbl_BahanBaku[KODE KOMPONEN],0)),""),"PERIKSA SATUAN","OK")))))</f>
        <v/>
      </c>
    </row>
    <row r="20" spans="1:9" ht="22" customHeight="1">
      <c r="A20" s="95"/>
      <c r="B20" s="34"/>
      <c r="C20" s="98" t="str">
        <f>IF(B20="","",IFERROR(INDEX(tbl_BahanBaku[KODE KOMPONEN],MATCH(B20,tbl_BahanBaku[NAMA KOMPONEN],0)),""))</f>
        <v/>
      </c>
      <c r="D20" s="98" t="str">
        <f>IF(B20="","",IFERROR(INDEX(tbl_BahanBaku[KATEGORI HPP],MATCH(C20,tbl_BahanBaku[KODE KOMPONEN],0)),""))</f>
        <v/>
      </c>
      <c r="E20" s="88"/>
      <c r="F20" s="34"/>
      <c r="G20" s="99" t="str">
        <f>IF(B20="","",IFERROR(INDEX(tbl_BahanBaku[HARGA PER SATUAN DASAR],MATCH(C20,tbl_BahanBaku[KODE KOMPONEN],0)),""))</f>
        <v/>
      </c>
      <c r="H20" s="99" t="str">
        <f t="shared" si="0"/>
        <v/>
      </c>
      <c r="I20" s="100" t="str">
        <f>IF(B20="","",IF(OR(E20="",NOT(ISNUMBER(E20)),E20&lt;=0,F20=""),"QTY/SATUAN BELUM VALID",IF(COUNTIF(tbl_BahanBaku[KODE KOMPONEN],C20)=0,"BAHAN TIDAK TERDAFTAR",IF(OR(IFERROR(INDEX(tbl_BahanBaku[KUANTITAS ISI],MATCH(C20,tbl_BahanBaku[KODE KOMPONEN],0)),0)&lt;=0,IFERROR(INDEX(tbl_BahanBaku[HARGA BELI TOTAL],MATCH(C20,tbl_BahanBaku[KODE KOMPONEN],0)),0)&lt;=0),"HARGA BELUM TERSEDIA",IF(F20&lt;&gt;IFERROR(INDEX(tbl_BahanBaku[SATUAN ISI],MATCH(C20,tbl_BahanBaku[KODE KOMPONEN],0)),""),"PERIKSA SATUAN","OK")))))</f>
        <v/>
      </c>
    </row>
    <row r="21" spans="1:9" ht="22" customHeight="1">
      <c r="A21" s="95"/>
      <c r="B21" s="34"/>
      <c r="C21" s="98" t="str">
        <f>IF(B21="","",IFERROR(INDEX(tbl_BahanBaku[KODE KOMPONEN],MATCH(B21,tbl_BahanBaku[NAMA KOMPONEN],0)),""))</f>
        <v/>
      </c>
      <c r="D21" s="98" t="str">
        <f>IF(B21="","",IFERROR(INDEX(tbl_BahanBaku[KATEGORI HPP],MATCH(C21,tbl_BahanBaku[KODE KOMPONEN],0)),""))</f>
        <v/>
      </c>
      <c r="E21" s="88"/>
      <c r="F21" s="34"/>
      <c r="G21" s="99" t="str">
        <f>IF(B21="","",IFERROR(INDEX(tbl_BahanBaku[HARGA PER SATUAN DASAR],MATCH(C21,tbl_BahanBaku[KODE KOMPONEN],0)),""))</f>
        <v/>
      </c>
      <c r="H21" s="99" t="str">
        <f t="shared" si="0"/>
        <v/>
      </c>
      <c r="I21" s="100" t="str">
        <f>IF(B21="","",IF(OR(E21="",NOT(ISNUMBER(E21)),E21&lt;=0,F21=""),"QTY/SATUAN BELUM VALID",IF(COUNTIF(tbl_BahanBaku[KODE KOMPONEN],C21)=0,"BAHAN TIDAK TERDAFTAR",IF(OR(IFERROR(INDEX(tbl_BahanBaku[KUANTITAS ISI],MATCH(C21,tbl_BahanBaku[KODE KOMPONEN],0)),0)&lt;=0,IFERROR(INDEX(tbl_BahanBaku[HARGA BELI TOTAL],MATCH(C21,tbl_BahanBaku[KODE KOMPONEN],0)),0)&lt;=0),"HARGA BELUM TERSEDIA",IF(F21&lt;&gt;IFERROR(INDEX(tbl_BahanBaku[SATUAN ISI],MATCH(C21,tbl_BahanBaku[KODE KOMPONEN],0)),""),"PERIKSA SATUAN","OK")))))</f>
        <v/>
      </c>
    </row>
    <row r="22" spans="1:9" ht="22" customHeight="1">
      <c r="A22" s="96"/>
      <c r="B22" s="34"/>
      <c r="C22" s="98" t="str">
        <f>IF(B22="","",IFERROR(INDEX(tbl_BahanBaku[KODE KOMPONEN],MATCH(B22,tbl_BahanBaku[NAMA KOMPONEN],0)),""))</f>
        <v/>
      </c>
      <c r="D22" s="98" t="str">
        <f>IF(B22="","",IFERROR(INDEX(tbl_BahanBaku[KATEGORI HPP],MATCH(C22,tbl_BahanBaku[KODE KOMPONEN],0)),""))</f>
        <v/>
      </c>
      <c r="E22" s="88"/>
      <c r="F22" s="34"/>
      <c r="G22" s="99" t="str">
        <f>IF(B22="","",IFERROR(INDEX(tbl_BahanBaku[HARGA PER SATUAN DASAR],MATCH(C22,tbl_BahanBaku[KODE KOMPONEN],0)),""))</f>
        <v/>
      </c>
      <c r="H22" s="99" t="str">
        <f t="shared" si="0"/>
        <v/>
      </c>
      <c r="I22" s="100" t="str">
        <f>IF(B22="","",IF(OR(E22="",NOT(ISNUMBER(E22)),E22&lt;=0,F22=""),"QTY/SATUAN BELUM VALID",IF(COUNTIF(tbl_BahanBaku[KODE KOMPONEN],C22)=0,"BAHAN TIDAK TERDAFTAR",IF(OR(IFERROR(INDEX(tbl_BahanBaku[KUANTITAS ISI],MATCH(C22,tbl_BahanBaku[KODE KOMPONEN],0)),0)&lt;=0,IFERROR(INDEX(tbl_BahanBaku[HARGA BELI TOTAL],MATCH(C22,tbl_BahanBaku[KODE KOMPONEN],0)),0)&lt;=0),"HARGA BELUM TERSEDIA",IF(F22&lt;&gt;IFERROR(INDEX(tbl_BahanBaku[SATUAN ISI],MATCH(C22,tbl_BahanBaku[KODE KOMPONEN],0)),""),"PERIKSA SATUAN","OK")))))</f>
        <v/>
      </c>
    </row>
    <row r="23" spans="1:9" ht="22" customHeight="1">
      <c r="A23" s="96"/>
      <c r="B23" s="34"/>
      <c r="C23" s="98" t="str">
        <f>IF(B23="","",IFERROR(INDEX(tbl_BahanBaku[KODE KOMPONEN],MATCH(B23,tbl_BahanBaku[NAMA KOMPONEN],0)),""))</f>
        <v/>
      </c>
      <c r="D23" s="98" t="str">
        <f>IF(B23="","",IFERROR(INDEX(tbl_BahanBaku[KATEGORI HPP],MATCH(C23,tbl_BahanBaku[KODE KOMPONEN],0)),""))</f>
        <v/>
      </c>
      <c r="E23" s="88"/>
      <c r="F23" s="34"/>
      <c r="G23" s="99" t="str">
        <f>IF(B23="","",IFERROR(INDEX(tbl_BahanBaku[HARGA PER SATUAN DASAR],MATCH(C23,tbl_BahanBaku[KODE KOMPONEN],0)),""))</f>
        <v/>
      </c>
      <c r="H23" s="99" t="str">
        <f t="shared" si="0"/>
        <v/>
      </c>
      <c r="I23" s="100" t="str">
        <f>IF(B23="","",IF(OR(E23="",NOT(ISNUMBER(E23)),E23&lt;=0,F23=""),"QTY/SATUAN BELUM VALID",IF(COUNTIF(tbl_BahanBaku[KODE KOMPONEN],C23)=0,"BAHAN TIDAK TERDAFTAR",IF(OR(IFERROR(INDEX(tbl_BahanBaku[KUANTITAS ISI],MATCH(C23,tbl_BahanBaku[KODE KOMPONEN],0)),0)&lt;=0,IFERROR(INDEX(tbl_BahanBaku[HARGA BELI TOTAL],MATCH(C23,tbl_BahanBaku[KODE KOMPONEN],0)),0)&lt;=0),"HARGA BELUM TERSEDIA",IF(F23&lt;&gt;IFERROR(INDEX(tbl_BahanBaku[SATUAN ISI],MATCH(C23,tbl_BahanBaku[KODE KOMPONEN],0)),""),"PERIKSA SATUAN","OK")))))</f>
        <v/>
      </c>
    </row>
    <row r="24" spans="1:9" ht="22" customHeight="1">
      <c r="A24" s="96"/>
      <c r="B24" s="34"/>
      <c r="C24" s="98" t="str">
        <f>IF(B24="","",IFERROR(INDEX(tbl_BahanBaku[KODE KOMPONEN],MATCH(B24,tbl_BahanBaku[NAMA KOMPONEN],0)),""))</f>
        <v/>
      </c>
      <c r="D24" s="98" t="str">
        <f>IF(B24="","",IFERROR(INDEX(tbl_BahanBaku[KATEGORI HPP],MATCH(C24,tbl_BahanBaku[KODE KOMPONEN],0)),""))</f>
        <v/>
      </c>
      <c r="E24" s="88"/>
      <c r="F24" s="34"/>
      <c r="G24" s="99" t="str">
        <f>IF(B24="","",IFERROR(INDEX(tbl_BahanBaku[HARGA PER SATUAN DASAR],MATCH(C24,tbl_BahanBaku[KODE KOMPONEN],0)),""))</f>
        <v/>
      </c>
      <c r="H24" s="99" t="str">
        <f t="shared" si="0"/>
        <v/>
      </c>
      <c r="I24" s="100" t="str">
        <f>IF(B24="","",IF(OR(E24="",NOT(ISNUMBER(E24)),E24&lt;=0,F24=""),"QTY/SATUAN BELUM VALID",IF(COUNTIF(tbl_BahanBaku[KODE KOMPONEN],C24)=0,"BAHAN TIDAK TERDAFTAR",IF(OR(IFERROR(INDEX(tbl_BahanBaku[KUANTITAS ISI],MATCH(C24,tbl_BahanBaku[KODE KOMPONEN],0)),0)&lt;=0,IFERROR(INDEX(tbl_BahanBaku[HARGA BELI TOTAL],MATCH(C24,tbl_BahanBaku[KODE KOMPONEN],0)),0)&lt;=0),"HARGA BELUM TERSEDIA",IF(F24&lt;&gt;IFERROR(INDEX(tbl_BahanBaku[SATUAN ISI],MATCH(C24,tbl_BahanBaku[KODE KOMPONEN],0)),""),"PERIKSA SATUAN","OK")))))</f>
        <v/>
      </c>
    </row>
    <row r="25" spans="1:9" ht="22" customHeight="1">
      <c r="A25" s="34"/>
      <c r="B25" s="34"/>
      <c r="C25" s="98" t="str">
        <f>IF(B25="","",IFERROR(INDEX(tbl_BahanBaku[KODE KOMPONEN],MATCH(B25,tbl_BahanBaku[NAMA KOMPONEN],0)),""))</f>
        <v/>
      </c>
      <c r="D25" s="98" t="str">
        <f>IF(B25="","",IFERROR(INDEX(tbl_BahanBaku[KATEGORI HPP],MATCH(C25,tbl_BahanBaku[KODE KOMPONEN],0)),""))</f>
        <v/>
      </c>
      <c r="E25" s="88"/>
      <c r="F25" s="34"/>
      <c r="G25" s="99" t="str">
        <f>IF(B25="","",IFERROR(INDEX(tbl_BahanBaku[HARGA PER SATUAN DASAR],MATCH(C25,tbl_BahanBaku[KODE KOMPONEN],0)),""))</f>
        <v/>
      </c>
      <c r="H25" s="99" t="str">
        <f t="shared" si="0"/>
        <v/>
      </c>
      <c r="I25" s="100" t="str">
        <f>IF(B25="","",IF(OR(E25="",NOT(ISNUMBER(E25)),E25&lt;=0,F25=""),"QTY/SATUAN BELUM VALID",IF(COUNTIF(tbl_BahanBaku[KODE KOMPONEN],C25)=0,"BAHAN TIDAK TERDAFTAR",IF(OR(IFERROR(INDEX(tbl_BahanBaku[KUANTITAS ISI],MATCH(C25,tbl_BahanBaku[KODE KOMPONEN],0)),0)&lt;=0,IFERROR(INDEX(tbl_BahanBaku[HARGA BELI TOTAL],MATCH(C25,tbl_BahanBaku[KODE KOMPONEN],0)),0)&lt;=0),"HARGA BELUM TERSEDIA",IF(F25&lt;&gt;IFERROR(INDEX(tbl_BahanBaku[SATUAN ISI],MATCH(C25,tbl_BahanBaku[KODE KOMPONEN],0)),""),"PERIKSA SATUAN","OK")))))</f>
        <v/>
      </c>
    </row>
    <row r="26" spans="1:9" ht="22" customHeight="1">
      <c r="A26" s="34"/>
      <c r="B26" s="34"/>
      <c r="C26" s="98" t="str">
        <f>IF(B26="","",IFERROR(INDEX(tbl_BahanBaku[KODE KOMPONEN],MATCH(B26,tbl_BahanBaku[NAMA KOMPONEN],0)),""))</f>
        <v/>
      </c>
      <c r="D26" s="98" t="str">
        <f>IF(B26="","",IFERROR(INDEX(tbl_BahanBaku[KATEGORI HPP],MATCH(C26,tbl_BahanBaku[KODE KOMPONEN],0)),""))</f>
        <v/>
      </c>
      <c r="E26" s="88"/>
      <c r="F26" s="34"/>
      <c r="G26" s="99" t="str">
        <f>IF(B26="","",IFERROR(INDEX(tbl_BahanBaku[HARGA PER SATUAN DASAR],MATCH(C26,tbl_BahanBaku[KODE KOMPONEN],0)),""))</f>
        <v/>
      </c>
      <c r="H26" s="99" t="str">
        <f t="shared" si="0"/>
        <v/>
      </c>
      <c r="I26" s="100" t="str">
        <f>IF(B26="","",IF(OR(E26="",NOT(ISNUMBER(E26)),E26&lt;=0,F26=""),"QTY/SATUAN BELUM VALID",IF(COUNTIF(tbl_BahanBaku[KODE KOMPONEN],C26)=0,"BAHAN TIDAK TERDAFTAR",IF(OR(IFERROR(INDEX(tbl_BahanBaku[KUANTITAS ISI],MATCH(C26,tbl_BahanBaku[KODE KOMPONEN],0)),0)&lt;=0,IFERROR(INDEX(tbl_BahanBaku[HARGA BELI TOTAL],MATCH(C26,tbl_BahanBaku[KODE KOMPONEN],0)),0)&lt;=0),"HARGA BELUM TERSEDIA",IF(F26&lt;&gt;IFERROR(INDEX(tbl_BahanBaku[SATUAN ISI],MATCH(C26,tbl_BahanBaku[KODE KOMPONEN],0)),""),"PERIKSA SATUAN","OK")))))</f>
        <v/>
      </c>
    </row>
    <row r="27" spans="1:9" ht="22" customHeight="1">
      <c r="A27" s="34"/>
      <c r="B27" s="34"/>
      <c r="C27" s="98" t="str">
        <f>IF(B27="","",IFERROR(INDEX(tbl_BahanBaku[KODE KOMPONEN],MATCH(B27,tbl_BahanBaku[NAMA KOMPONEN],0)),""))</f>
        <v/>
      </c>
      <c r="D27" s="98" t="str">
        <f>IF(B27="","",IFERROR(INDEX(tbl_BahanBaku[KATEGORI HPP],MATCH(C27,tbl_BahanBaku[KODE KOMPONEN],0)),""))</f>
        <v/>
      </c>
      <c r="E27" s="88"/>
      <c r="F27" s="34"/>
      <c r="G27" s="99" t="str">
        <f>IF(B27="","",IFERROR(INDEX(tbl_BahanBaku[HARGA PER SATUAN DASAR],MATCH(C27,tbl_BahanBaku[KODE KOMPONEN],0)),""))</f>
        <v/>
      </c>
      <c r="H27" s="99" t="str">
        <f t="shared" si="0"/>
        <v/>
      </c>
      <c r="I27" s="100" t="str">
        <f>IF(B27="","",IF(OR(E27="",NOT(ISNUMBER(E27)),E27&lt;=0,F27=""),"QTY/SATUAN BELUM VALID",IF(COUNTIF(tbl_BahanBaku[KODE KOMPONEN],C27)=0,"BAHAN TIDAK TERDAFTAR",IF(OR(IFERROR(INDEX(tbl_BahanBaku[KUANTITAS ISI],MATCH(C27,tbl_BahanBaku[KODE KOMPONEN],0)),0)&lt;=0,IFERROR(INDEX(tbl_BahanBaku[HARGA BELI TOTAL],MATCH(C27,tbl_BahanBaku[KODE KOMPONEN],0)),0)&lt;=0),"HARGA BELUM TERSEDIA",IF(F27&lt;&gt;IFERROR(INDEX(tbl_BahanBaku[SATUAN ISI],MATCH(C27,tbl_BahanBaku[KODE KOMPONEN],0)),""),"PERIKSA SATUAN","OK")))))</f>
        <v/>
      </c>
    </row>
    <row r="28" spans="1:9" ht="22" customHeight="1">
      <c r="A28" s="34"/>
      <c r="B28" s="34"/>
      <c r="C28" s="98" t="str">
        <f>IF(B28="","",IFERROR(INDEX(tbl_BahanBaku[KODE KOMPONEN],MATCH(B28,tbl_BahanBaku[NAMA KOMPONEN],0)),""))</f>
        <v/>
      </c>
      <c r="D28" s="98" t="str">
        <f>IF(B28="","",IFERROR(INDEX(tbl_BahanBaku[KATEGORI HPP],MATCH(C28,tbl_BahanBaku[KODE KOMPONEN],0)),""))</f>
        <v/>
      </c>
      <c r="E28" s="88"/>
      <c r="F28" s="34"/>
      <c r="G28" s="99" t="str">
        <f>IF(B28="","",IFERROR(INDEX(tbl_BahanBaku[HARGA PER SATUAN DASAR],MATCH(C28,tbl_BahanBaku[KODE KOMPONEN],0)),""))</f>
        <v/>
      </c>
      <c r="H28" s="99" t="str">
        <f t="shared" si="0"/>
        <v/>
      </c>
      <c r="I28" s="100" t="str">
        <f>IF(B28="","",IF(OR(E28="",NOT(ISNUMBER(E28)),E28&lt;=0,F28=""),"QTY/SATUAN BELUM VALID",IF(COUNTIF(tbl_BahanBaku[KODE KOMPONEN],C28)=0,"BAHAN TIDAK TERDAFTAR",IF(OR(IFERROR(INDEX(tbl_BahanBaku[KUANTITAS ISI],MATCH(C28,tbl_BahanBaku[KODE KOMPONEN],0)),0)&lt;=0,IFERROR(INDEX(tbl_BahanBaku[HARGA BELI TOTAL],MATCH(C28,tbl_BahanBaku[KODE KOMPONEN],0)),0)&lt;=0),"HARGA BELUM TERSEDIA",IF(F28&lt;&gt;IFERROR(INDEX(tbl_BahanBaku[SATUAN ISI],MATCH(C28,tbl_BahanBaku[KODE KOMPONEN],0)),""),"PERIKSA SATUAN","OK")))))</f>
        <v/>
      </c>
    </row>
    <row r="29" spans="1:9" ht="22" customHeight="1">
      <c r="A29" s="34"/>
      <c r="B29" s="34"/>
      <c r="C29" s="98" t="str">
        <f>IF(B29="","",IFERROR(INDEX(tbl_BahanBaku[KODE KOMPONEN],MATCH(B29,tbl_BahanBaku[NAMA KOMPONEN],0)),""))</f>
        <v/>
      </c>
      <c r="D29" s="98" t="str">
        <f>IF(B29="","",IFERROR(INDEX(tbl_BahanBaku[KATEGORI HPP],MATCH(C29,tbl_BahanBaku[KODE KOMPONEN],0)),""))</f>
        <v/>
      </c>
      <c r="E29" s="88"/>
      <c r="F29" s="34"/>
      <c r="G29" s="99" t="str">
        <f>IF(B29="","",IFERROR(INDEX(tbl_BahanBaku[HARGA PER SATUAN DASAR],MATCH(C29,tbl_BahanBaku[KODE KOMPONEN],0)),""))</f>
        <v/>
      </c>
      <c r="H29" s="99" t="str">
        <f t="shared" si="0"/>
        <v/>
      </c>
      <c r="I29" s="100" t="str">
        <f>IF(B29="","",IF(OR(E29="",NOT(ISNUMBER(E29)),E29&lt;=0,F29=""),"QTY/SATUAN BELUM VALID",IF(COUNTIF(tbl_BahanBaku[KODE KOMPONEN],C29)=0,"BAHAN TIDAK TERDAFTAR",IF(OR(IFERROR(INDEX(tbl_BahanBaku[KUANTITAS ISI],MATCH(C29,tbl_BahanBaku[KODE KOMPONEN],0)),0)&lt;=0,IFERROR(INDEX(tbl_BahanBaku[HARGA BELI TOTAL],MATCH(C29,tbl_BahanBaku[KODE KOMPONEN],0)),0)&lt;=0),"HARGA BELUM TERSEDIA",IF(F29&lt;&gt;IFERROR(INDEX(tbl_BahanBaku[SATUAN ISI],MATCH(C29,tbl_BahanBaku[KODE KOMPONEN],0)),""),"PERIKSA SATUAN","OK")))))</f>
        <v/>
      </c>
    </row>
    <row r="30" spans="1:9" ht="22" customHeight="1">
      <c r="A30" s="34"/>
      <c r="B30" s="34"/>
      <c r="C30" s="98" t="str">
        <f>IF(B30="","",IFERROR(INDEX(tbl_BahanBaku[KODE KOMPONEN],MATCH(B30,tbl_BahanBaku[NAMA KOMPONEN],0)),""))</f>
        <v/>
      </c>
      <c r="D30" s="98" t="str">
        <f>IF(B30="","",IFERROR(INDEX(tbl_BahanBaku[KATEGORI HPP],MATCH(C30,tbl_BahanBaku[KODE KOMPONEN],0)),""))</f>
        <v/>
      </c>
      <c r="E30" s="88"/>
      <c r="F30" s="34"/>
      <c r="G30" s="99" t="str">
        <f>IF(B30="","",IFERROR(INDEX(tbl_BahanBaku[HARGA PER SATUAN DASAR],MATCH(C30,tbl_BahanBaku[KODE KOMPONEN],0)),""))</f>
        <v/>
      </c>
      <c r="H30" s="99" t="str">
        <f t="shared" si="0"/>
        <v/>
      </c>
      <c r="I30" s="100" t="str">
        <f>IF(B30="","",IF(OR(E30="",NOT(ISNUMBER(E30)),E30&lt;=0,F30=""),"QTY/SATUAN BELUM VALID",IF(COUNTIF(tbl_BahanBaku[KODE KOMPONEN],C30)=0,"BAHAN TIDAK TERDAFTAR",IF(OR(IFERROR(INDEX(tbl_BahanBaku[KUANTITAS ISI],MATCH(C30,tbl_BahanBaku[KODE KOMPONEN],0)),0)&lt;=0,IFERROR(INDEX(tbl_BahanBaku[HARGA BELI TOTAL],MATCH(C30,tbl_BahanBaku[KODE KOMPONEN],0)),0)&lt;=0),"HARGA BELUM TERSEDIA",IF(F30&lt;&gt;IFERROR(INDEX(tbl_BahanBaku[SATUAN ISI],MATCH(C30,tbl_BahanBaku[KODE KOMPONEN],0)),""),"PERIKSA SATUAN","OK")))))</f>
        <v/>
      </c>
    </row>
    <row r="31" spans="1:9" ht="22" customHeight="1">
      <c r="A31" s="34"/>
      <c r="B31" s="34"/>
      <c r="C31" s="98" t="str">
        <f>IF(B31="","",IFERROR(INDEX(tbl_BahanBaku[KODE KOMPONEN],MATCH(B31,tbl_BahanBaku[NAMA KOMPONEN],0)),""))</f>
        <v/>
      </c>
      <c r="D31" s="98" t="str">
        <f>IF(B31="","",IFERROR(INDEX(tbl_BahanBaku[KATEGORI HPP],MATCH(C31,tbl_BahanBaku[KODE KOMPONEN],0)),""))</f>
        <v/>
      </c>
      <c r="E31" s="88"/>
      <c r="F31" s="34"/>
      <c r="G31" s="99" t="str">
        <f>IF(B31="","",IFERROR(INDEX(tbl_BahanBaku[HARGA PER SATUAN DASAR],MATCH(C31,tbl_BahanBaku[KODE KOMPONEN],0)),""))</f>
        <v/>
      </c>
      <c r="H31" s="99" t="str">
        <f t="shared" si="0"/>
        <v/>
      </c>
      <c r="I31" s="100" t="str">
        <f>IF(B31="","",IF(OR(E31="",NOT(ISNUMBER(E31)),E31&lt;=0,F31=""),"QTY/SATUAN BELUM VALID",IF(COUNTIF(tbl_BahanBaku[KODE KOMPONEN],C31)=0,"BAHAN TIDAK TERDAFTAR",IF(OR(IFERROR(INDEX(tbl_BahanBaku[KUANTITAS ISI],MATCH(C31,tbl_BahanBaku[KODE KOMPONEN],0)),0)&lt;=0,IFERROR(INDEX(tbl_BahanBaku[HARGA BELI TOTAL],MATCH(C31,tbl_BahanBaku[KODE KOMPONEN],0)),0)&lt;=0),"HARGA BELUM TERSEDIA",IF(F31&lt;&gt;IFERROR(INDEX(tbl_BahanBaku[SATUAN ISI],MATCH(C31,tbl_BahanBaku[KODE KOMPONEN],0)),""),"PERIKSA SATUAN","OK")))))</f>
        <v/>
      </c>
    </row>
    <row r="32" spans="1:9" ht="22" customHeight="1">
      <c r="A32" s="34"/>
      <c r="B32" s="34"/>
      <c r="C32" s="98" t="str">
        <f>IF(B32="","",IFERROR(INDEX(tbl_BahanBaku[KODE KOMPONEN],MATCH(B32,tbl_BahanBaku[NAMA KOMPONEN],0)),""))</f>
        <v/>
      </c>
      <c r="D32" s="98" t="str">
        <f>IF(B32="","",IFERROR(INDEX(tbl_BahanBaku[KATEGORI HPP],MATCH(C32,tbl_BahanBaku[KODE KOMPONEN],0)),""))</f>
        <v/>
      </c>
      <c r="E32" s="88"/>
      <c r="F32" s="34"/>
      <c r="G32" s="99" t="str">
        <f>IF(B32="","",IFERROR(INDEX(tbl_BahanBaku[HARGA PER SATUAN DASAR],MATCH(C32,tbl_BahanBaku[KODE KOMPONEN],0)),""))</f>
        <v/>
      </c>
      <c r="H32" s="99" t="str">
        <f t="shared" si="0"/>
        <v/>
      </c>
      <c r="I32" s="100" t="str">
        <f>IF(B32="","",IF(OR(E32="",NOT(ISNUMBER(E32)),E32&lt;=0,F32=""),"QTY/SATUAN BELUM VALID",IF(COUNTIF(tbl_BahanBaku[KODE KOMPONEN],C32)=0,"BAHAN TIDAK TERDAFTAR",IF(OR(IFERROR(INDEX(tbl_BahanBaku[KUANTITAS ISI],MATCH(C32,tbl_BahanBaku[KODE KOMPONEN],0)),0)&lt;=0,IFERROR(INDEX(tbl_BahanBaku[HARGA BELI TOTAL],MATCH(C32,tbl_BahanBaku[KODE KOMPONEN],0)),0)&lt;=0),"HARGA BELUM TERSEDIA",IF(F32&lt;&gt;IFERROR(INDEX(tbl_BahanBaku[SATUAN ISI],MATCH(C32,tbl_BahanBaku[KODE KOMPONEN],0)),""),"PERIKSA SATUAN","OK")))))</f>
        <v/>
      </c>
    </row>
    <row r="33" spans="1:9" ht="22" customHeight="1">
      <c r="A33" s="34"/>
      <c r="B33" s="34"/>
      <c r="C33" s="98" t="str">
        <f>IF(B33="","",IFERROR(INDEX(tbl_BahanBaku[KODE KOMPONEN],MATCH(B33,tbl_BahanBaku[NAMA KOMPONEN],0)),""))</f>
        <v/>
      </c>
      <c r="D33" s="98" t="str">
        <f>IF(B33="","",IFERROR(INDEX(tbl_BahanBaku[KATEGORI HPP],MATCH(C33,tbl_BahanBaku[KODE KOMPONEN],0)),""))</f>
        <v/>
      </c>
      <c r="E33" s="88"/>
      <c r="F33" s="34"/>
      <c r="G33" s="99" t="str">
        <f>IF(B33="","",IFERROR(INDEX(tbl_BahanBaku[HARGA PER SATUAN DASAR],MATCH(C33,tbl_BahanBaku[KODE KOMPONEN],0)),""))</f>
        <v/>
      </c>
      <c r="H33" s="99" t="str">
        <f t="shared" si="0"/>
        <v/>
      </c>
      <c r="I33" s="100" t="str">
        <f>IF(B33="","",IF(OR(E33="",NOT(ISNUMBER(E33)),E33&lt;=0,F33=""),"QTY/SATUAN BELUM VALID",IF(COUNTIF(tbl_BahanBaku[KODE KOMPONEN],C33)=0,"BAHAN TIDAK TERDAFTAR",IF(OR(IFERROR(INDEX(tbl_BahanBaku[KUANTITAS ISI],MATCH(C33,tbl_BahanBaku[KODE KOMPONEN],0)),0)&lt;=0,IFERROR(INDEX(tbl_BahanBaku[HARGA BELI TOTAL],MATCH(C33,tbl_BahanBaku[KODE KOMPONEN],0)),0)&lt;=0),"HARGA BELUM TERSEDIA",IF(F33&lt;&gt;IFERROR(INDEX(tbl_BahanBaku[SATUAN ISI],MATCH(C33,tbl_BahanBaku[KODE KOMPONEN],0)),""),"PERIKSA SATUAN","OK")))))</f>
        <v/>
      </c>
    </row>
    <row r="34" spans="1:9" ht="22" customHeight="1"/>
    <row r="35" spans="1:9" ht="22" customHeight="1"/>
    <row r="36" spans="1:9" ht="22" customHeight="1"/>
  </sheetData>
  <mergeCells count="8">
    <mergeCell ref="K1:M1"/>
    <mergeCell ref="K10:M15"/>
    <mergeCell ref="A1:I1"/>
    <mergeCell ref="A2:I2"/>
    <mergeCell ref="B3:D3"/>
    <mergeCell ref="F3:G3"/>
    <mergeCell ref="A5:I5"/>
    <mergeCell ref="A7:I7"/>
  </mergeCells>
  <conditionalFormatting sqref="A9:I33">
    <cfRule type="expression" dxfId="37" priority="1">
      <formula>MOD(ROW(),2)=0</formula>
    </cfRule>
  </conditionalFormatting>
  <dataValidations count="3">
    <dataValidation type="list" allowBlank="1" showInputMessage="1" showErrorMessage="1" errorTitle="Produk tidak tersedia" error="Pilih produk dari dropdown. Produk yang resepnya sudah tersimpan di DETAIL HPP tidak dapat dipilih kembali." promptTitle="Pilih produk untuk resep" prompt="Pilih produk yang terdaftar di MASTER PRODUK dan belum memiliki resep di DETAIL HPP." sqref="B3" xr:uid="{F45C4F84-8394-4AD2-BE02-D6B625BE1448}">
      <formula1>HPPProdukBaru</formula1>
    </dataValidation>
    <dataValidation type="list" allowBlank="1" showInputMessage="1" showErrorMessage="1" sqref="B9:B33" xr:uid="{D6E06B7B-DF28-426D-B53E-8BD4AFC8D207}">
      <formula1>HPPDaftarBahan</formula1>
    </dataValidation>
    <dataValidation type="list" allowBlank="1" showInputMessage="1" showErrorMessage="1" errorTitle="Jenis tidak valid" error="Pilih BAHAN atau PRODUK dari dropdown." sqref="A9:A33" xr:uid="{5D8A5AD7-69CC-4184-8559-588DC6FF316E}">
      <formula1>HPPJenisKomponen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impanResepHPP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539750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BersihkanFormHPP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539750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PerbaruiDaftarFORMHPP">
                <anchor moveWithCells="1" siz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539750</xdr:colOff>
                    <xdr:row>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A3E8F-0A92-41D4-94E3-C973DC9F2C64}">
  <sheetPr codeName="Sheet10"/>
  <dimension ref="A1:M368"/>
  <sheetViews>
    <sheetView zoomScale="75" zoomScaleNormal="75" workbookViewId="0">
      <pane ySplit="1" topLeftCell="A2" activePane="bottomLeft" state="frozen"/>
      <selection pane="bottomLeft" activeCell="A3" sqref="A3"/>
    </sheetView>
  </sheetViews>
  <sheetFormatPr defaultRowHeight="14.5"/>
  <cols>
    <col min="1" max="1" width="17.6328125" style="34" customWidth="1"/>
    <col min="2" max="2" width="30.6328125" style="34" customWidth="1"/>
    <col min="3" max="4" width="18.6328125" style="34" customWidth="1"/>
    <col min="5" max="5" width="28.6328125" style="34" customWidth="1"/>
    <col min="6" max="6" width="30.6328125" style="34" customWidth="1"/>
    <col min="7" max="7" width="13.6328125" style="88" customWidth="1"/>
    <col min="8" max="8" width="16.6328125" style="34" customWidth="1"/>
    <col min="9" max="10" width="22.6328125" style="89" customWidth="1"/>
    <col min="11" max="11" width="29.6328125" style="34" customWidth="1"/>
    <col min="12" max="13" width="0" hidden="1" customWidth="1"/>
  </cols>
  <sheetData>
    <row r="1" spans="1:13" s="2" customFormat="1">
      <c r="A1" s="85" t="s">
        <v>341</v>
      </c>
      <c r="B1" s="85" t="s">
        <v>342</v>
      </c>
      <c r="C1" s="85" t="s">
        <v>346</v>
      </c>
      <c r="D1" s="85" t="s">
        <v>335</v>
      </c>
      <c r="E1" s="85" t="s">
        <v>334</v>
      </c>
      <c r="F1" s="85" t="s">
        <v>336</v>
      </c>
      <c r="G1" s="86" t="s">
        <v>347</v>
      </c>
      <c r="H1" s="85" t="s">
        <v>348</v>
      </c>
      <c r="I1" s="87" t="s">
        <v>340</v>
      </c>
      <c r="J1" s="87" t="s">
        <v>349</v>
      </c>
      <c r="K1" s="85" t="s">
        <v>350</v>
      </c>
      <c r="L1" s="85" t="s">
        <v>364</v>
      </c>
      <c r="M1" s="85" t="s">
        <v>365</v>
      </c>
    </row>
    <row r="2" spans="1:13">
      <c r="A2" s="34" t="s">
        <v>363</v>
      </c>
      <c r="B2" s="34" t="str">
        <f>IFERROR(INDEX(tbl_Produk[NAMA PRODUK],MATCH(tblDetailHPP[[#This Row],[KODE PRODUK]],tbl_Produk[KODE PRODUK],0)),"")</f>
        <v>AIR MINERAL 600 ML</v>
      </c>
      <c r="C2" s="34" t="s">
        <v>354</v>
      </c>
      <c r="D2" s="34" t="s">
        <v>113</v>
      </c>
      <c r="E2" s="34" t="str">
        <f>IF(tblDetailHPP[[#This Row],[KODE KOMPONEN]]="","",IFERROR(INDEX(tbl_BahanBaku[KATEGORI HPP],MATCH(tblDetailHPP[[#This Row],[KODE KOMPONEN]],tbl_BahanBaku[KODE KOMPONEN],0)),""))</f>
        <v>BAHAN MINUMAN</v>
      </c>
      <c r="F2" s="34" t="str">
        <f>IF(tblDetailHPP[[#This Row],[KODE KOMPONEN]]="","",IFERROR(INDEX(tbl_BahanBaku[NAMA KOMPONEN],MATCH(tblDetailHPP[[#This Row],[KODE KOMPONEN]],tbl_BahanBaku[KODE KOMPONEN],0)),""))</f>
        <v>AIR MINERAL 600 ML</v>
      </c>
      <c r="G2" s="88">
        <v>1</v>
      </c>
      <c r="H2" s="34" t="s">
        <v>4</v>
      </c>
      <c r="I2" s="89">
        <f>IF(tblDetailHPP[[#This Row],[KODE KOMPONEN]]="","",IFERROR(INDEX(tbl_BahanBaku[HARGA PER SATUAN DASAR],MATCH(tblDetailHPP[[#This Row],[KODE KOMPONEN]],tbl_BahanBaku[KODE KOMPONEN],0)),""))</f>
        <v>2125</v>
      </c>
      <c r="J2" s="89">
        <f>IF(tblDetailHPP[[#This Row],[KODE KOMPONEN]]="","",IF(tblDetailHPP[[#This Row],[STATUS HARGA]]="OK",ROUND(tblDetailHPP[[#This Row],[QTY PAKAI]]*tblDetailHPP[[#This Row],[HARGA PER SATUAN DASAR]],2),""))</f>
        <v>2125</v>
      </c>
      <c r="K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" s="34">
        <f>IF(tblDetailHPP[[#This Row],[KODE PRODUK]]="",0,IFERROR(INDEX('PENJUALAN (QTY)'!$AH$3:$AH$500,MATCH(tblDetailHPP[[#This Row],[KODE PRODUK]],'PENJUALAN (QTY)'!$A$3:$A$500,0)),0))</f>
        <v>0</v>
      </c>
      <c r="M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" spans="1:13">
      <c r="A3" s="34" t="s">
        <v>363</v>
      </c>
      <c r="B3" s="34" t="str">
        <f>IFERROR(INDEX(tbl_Produk[NAMA PRODUK],MATCH(tblDetailHPP[[#This Row],[KODE PRODUK]],tbl_Produk[KODE PRODUK],0)),"")</f>
        <v>AIR MINERAL 600 ML</v>
      </c>
      <c r="C3" s="34" t="s">
        <v>354</v>
      </c>
      <c r="D3" s="34" t="s">
        <v>159</v>
      </c>
      <c r="E3" s="34" t="str">
        <f>IF(tblDetailHPP[[#This Row],[KODE KOMPONEN]]="","",IFERROR(INDEX(tbl_BahanBaku[KATEGORI HPP],MATCH(tblDetailHPP[[#This Row],[KODE KOMPONEN]],tbl_BahanBaku[KODE KOMPONEN],0)),""))</f>
        <v>KEMASAN &amp; SUPPLIES</v>
      </c>
      <c r="F3" s="34" t="str">
        <f>IF(tblDetailHPP[[#This Row],[KODE KOMPONEN]]="","",IFERROR(INDEX(tbl_BahanBaku[NAMA KOMPONEN],MATCH(tblDetailHPP[[#This Row],[KODE KOMPONEN]],tbl_BahanBaku[KODE KOMPONEN],0)),""))</f>
        <v>PLASTIK UK. 21</v>
      </c>
      <c r="G3" s="88">
        <v>1</v>
      </c>
      <c r="H3" s="34" t="s">
        <v>4</v>
      </c>
      <c r="I3" s="89">
        <f>IF(tblDetailHPP[[#This Row],[KODE KOMPONEN]]="","",IFERROR(INDEX(tbl_BahanBaku[HARGA PER SATUAN DASAR],MATCH(tblDetailHPP[[#This Row],[KODE KOMPONEN]],tbl_BahanBaku[KODE KOMPONEN],0)),""))</f>
        <v>280</v>
      </c>
      <c r="J3" s="89">
        <f>IF(tblDetailHPP[[#This Row],[KODE KOMPONEN]]="","",IF(tblDetailHPP[[#This Row],[STATUS HARGA]]="OK",ROUND(tblDetailHPP[[#This Row],[QTY PAKAI]]*tblDetailHPP[[#This Row],[HARGA PER SATUAN DASAR]],2),""))</f>
        <v>280</v>
      </c>
      <c r="K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" s="34">
        <f>IF(tblDetailHPP[[#This Row],[KODE PRODUK]]="",0,IFERROR(INDEX('PENJUALAN (QTY)'!$AH$3:$AH$500,MATCH(tblDetailHPP[[#This Row],[KODE PRODUK]],'PENJUALAN (QTY)'!$A$3:$A$500,0)),0))</f>
        <v>0</v>
      </c>
      <c r="M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4" spans="1:13">
      <c r="A4" s="34" t="s">
        <v>179</v>
      </c>
      <c r="B4" s="34" t="str">
        <f>IFERROR(INDEX(tbl_Produk[NAMA PRODUK],MATCH(tblDetailHPP[[#This Row],[KODE PRODUK]],tbl_Produk[KODE PRODUK],0)),"")</f>
        <v>AYAM CRISPY ORIGINAL</v>
      </c>
      <c r="C4" s="34" t="s">
        <v>354</v>
      </c>
      <c r="D4" s="34" t="s">
        <v>114</v>
      </c>
      <c r="E4" s="34" t="str">
        <f>IF(tblDetailHPP[[#This Row],[KODE KOMPONEN]]="","",IFERROR(INDEX(tbl_BahanBaku[KATEGORI HPP],MATCH(tblDetailHPP[[#This Row],[KODE KOMPONEN]],tbl_BahanBaku[KODE KOMPONEN],0)),""))</f>
        <v>BAHAN UTAMA</v>
      </c>
      <c r="F4" s="34" t="str">
        <f>IF(tblDetailHPP[[#This Row],[KODE KOMPONEN]]="","",IFERROR(INDEX(tbl_BahanBaku[NAMA KOMPONEN],MATCH(tblDetailHPP[[#This Row],[KODE KOMPONEN]],tbl_BahanBaku[KODE KOMPONEN],0)),""))</f>
        <v>AYAM POTONG</v>
      </c>
      <c r="G4" s="88">
        <v>83.3</v>
      </c>
      <c r="H4" s="34" t="s">
        <v>5</v>
      </c>
      <c r="I4" s="89">
        <f>IF(tblDetailHPP[[#This Row],[KODE KOMPONEN]]="","",IFERROR(INDEX(tbl_BahanBaku[HARGA PER SATUAN DASAR],MATCH(tblDetailHPP[[#This Row],[KODE KOMPONEN]],tbl_BahanBaku[KODE KOMPONEN],0)),""))</f>
        <v>26.5</v>
      </c>
      <c r="J4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4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4" s="34">
        <f>IF(tblDetailHPP[[#This Row],[KODE PRODUK]]="",0,IFERROR(INDEX('PENJUALAN (QTY)'!$AH$3:$AH$500,MATCH(tblDetailHPP[[#This Row],[KODE PRODUK]],'PENJUALAN (QTY)'!$A$3:$A$500,0)),0))</f>
        <v>98</v>
      </c>
      <c r="M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216330.09999999998</v>
      </c>
    </row>
    <row r="5" spans="1:13">
      <c r="A5" s="34" t="s">
        <v>179</v>
      </c>
      <c r="B5" s="34" t="str">
        <f>IFERROR(INDEX(tbl_Produk[NAMA PRODUK],MATCH(tblDetailHPP[[#This Row],[KODE PRODUK]],tbl_Produk[KODE PRODUK],0)),"")</f>
        <v>AYAM CRISPY ORIGINAL</v>
      </c>
      <c r="C5" s="34" t="s">
        <v>354</v>
      </c>
      <c r="D5" s="34" t="s">
        <v>121</v>
      </c>
      <c r="E5" s="34" t="str">
        <f>IF(tblDetailHPP[[#This Row],[KODE KOMPONEN]]="","",IFERROR(INDEX(tbl_BahanBaku[KATEGORI HPP],MATCH(tblDetailHPP[[#This Row],[KODE KOMPONEN]],tbl_BahanBaku[KODE KOMPONEN],0)),""))</f>
        <v>BUMBU &amp; PELENGKAP</v>
      </c>
      <c r="F5" s="34" t="str">
        <f>IF(tblDetailHPP[[#This Row],[KODE KOMPONEN]]="","",IFERROR(INDEX(tbl_BahanBaku[NAMA KOMPONEN],MATCH(tblDetailHPP[[#This Row],[KODE KOMPONEN]],tbl_BahanBaku[KODE KOMPONEN],0)),""))</f>
        <v>BUMBU MARINASI</v>
      </c>
      <c r="G5" s="88">
        <v>2.5</v>
      </c>
      <c r="H5" s="34" t="s">
        <v>5</v>
      </c>
      <c r="I5" s="89">
        <f>IF(tblDetailHPP[[#This Row],[KODE KOMPONEN]]="","",IFERROR(INDEX(tbl_BahanBaku[HARGA PER SATUAN DASAR],MATCH(tblDetailHPP[[#This Row],[KODE KOMPONEN]],tbl_BahanBaku[KODE KOMPONEN],0)),""))</f>
        <v>71.666666666666671</v>
      </c>
      <c r="J5" s="89">
        <f>IF(tblDetailHPP[[#This Row],[KODE KOMPONEN]]="","",IF(tblDetailHPP[[#This Row],[STATUS HARGA]]="OK",ROUND(tblDetailHPP[[#This Row],[QTY PAKAI]]*tblDetailHPP[[#This Row],[HARGA PER SATUAN DASAR]],2),""))</f>
        <v>179.17</v>
      </c>
      <c r="K5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5" s="34">
        <f>IF(tblDetailHPP[[#This Row],[KODE PRODUK]]="",0,IFERROR(INDEX('PENJUALAN (QTY)'!$AH$3:$AH$500,MATCH(tblDetailHPP[[#This Row],[KODE PRODUK]],'PENJUALAN (QTY)'!$A$3:$A$500,0)),0))</f>
        <v>98</v>
      </c>
      <c r="M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17558.66</v>
      </c>
    </row>
    <row r="6" spans="1:13">
      <c r="A6" s="34" t="s">
        <v>179</v>
      </c>
      <c r="B6" s="34" t="str">
        <f>IFERROR(INDEX(tbl_Produk[NAMA PRODUK],MATCH(tblDetailHPP[[#This Row],[KODE PRODUK]],tbl_Produk[KODE PRODUK],0)),"")</f>
        <v>AYAM CRISPY ORIGINAL</v>
      </c>
      <c r="C6" s="34" t="s">
        <v>354</v>
      </c>
      <c r="D6" s="34" t="s">
        <v>142</v>
      </c>
      <c r="E6" s="34" t="str">
        <f>IF(tblDetailHPP[[#This Row],[KODE KOMPONEN]]="","",IFERROR(INDEX(tbl_BahanBaku[KATEGORI HPP],MATCH(tblDetailHPP[[#This Row],[KODE KOMPONEN]],tbl_BahanBaku[KODE KOMPONEN],0)),""))</f>
        <v>OVERHEAD / OPERASIONAL</v>
      </c>
      <c r="F6" s="34" t="str">
        <f>IF(tblDetailHPP[[#This Row],[KODE KOMPONEN]]="","",IFERROR(INDEX(tbl_BahanBaku[NAMA KOMPONEN],MATCH(tblDetailHPP[[#This Row],[KODE KOMPONEN]],tbl_BahanBaku[KODE KOMPONEN],0)),""))</f>
        <v>KERTAS PRINTER</v>
      </c>
      <c r="G6" s="88">
        <v>15</v>
      </c>
      <c r="H6" s="34" t="s">
        <v>222</v>
      </c>
      <c r="I6" s="89">
        <f>IF(tblDetailHPP[[#This Row],[KODE KOMPONEN]]="","",IFERROR(INDEX(tbl_BahanBaku[HARGA PER SATUAN DASAR],MATCH(tblDetailHPP[[#This Row],[KODE KOMPONEN]],tbl_BahanBaku[KODE KOMPONEN],0)),""))</f>
        <v>5</v>
      </c>
      <c r="J6" s="89">
        <f>IF(tblDetailHPP[[#This Row],[KODE KOMPONEN]]="","",IF(tblDetailHPP[[#This Row],[STATUS HARGA]]="OK",ROUND(tblDetailHPP[[#This Row],[QTY PAKAI]]*tblDetailHPP[[#This Row],[HARGA PER SATUAN DASAR]],2),""))</f>
        <v>75</v>
      </c>
      <c r="K6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6" s="34">
        <f>IF(tblDetailHPP[[#This Row],[KODE PRODUK]]="",0,IFERROR(INDEX('PENJUALAN (QTY)'!$AH$3:$AH$500,MATCH(tblDetailHPP[[#This Row],[KODE PRODUK]],'PENJUALAN (QTY)'!$A$3:$A$500,0)),0))</f>
        <v>98</v>
      </c>
      <c r="M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7350</v>
      </c>
    </row>
    <row r="7" spans="1:13">
      <c r="A7" s="34" t="s">
        <v>179</v>
      </c>
      <c r="B7" s="34" t="str">
        <f>IFERROR(INDEX(tbl_Produk[NAMA PRODUK],MATCH(tblDetailHPP[[#This Row],[KODE PRODUK]],tbl_Produk[KODE PRODUK],0)),"")</f>
        <v>AYAM CRISPY ORIGINAL</v>
      </c>
      <c r="C7" s="34" t="s">
        <v>354</v>
      </c>
      <c r="D7" s="34" t="s">
        <v>143</v>
      </c>
      <c r="E7" s="34" t="str">
        <f>IF(tblDetailHPP[[#This Row],[KODE KOMPONEN]]="","",IFERROR(INDEX(tbl_BahanBaku[KATEGORI HPP],MATCH(tblDetailHPP[[#This Row],[KODE KOMPONEN]],tbl_BahanBaku[KODE KOMPONEN],0)),""))</f>
        <v>OVERHEAD / OPERASIONAL</v>
      </c>
      <c r="F7" s="34" t="str">
        <f>IF(tblDetailHPP[[#This Row],[KODE KOMPONEN]]="","",IFERROR(INDEX(tbl_BahanBaku[NAMA KOMPONEN],MATCH(tblDetailHPP[[#This Row],[KODE KOMPONEN]],tbl_BahanBaku[KODE KOMPONEN],0)),""))</f>
        <v>LPG 3KG</v>
      </c>
      <c r="G7" s="88">
        <v>13</v>
      </c>
      <c r="H7" s="34" t="s">
        <v>5</v>
      </c>
      <c r="I7" s="89">
        <f>IF(tblDetailHPP[[#This Row],[KODE KOMPONEN]]="","",IFERROR(INDEX(tbl_BahanBaku[HARGA PER SATUAN DASAR],MATCH(tblDetailHPP[[#This Row],[KODE KOMPONEN]],tbl_BahanBaku[KODE KOMPONEN],0)),""))</f>
        <v>7.666666666666667</v>
      </c>
      <c r="J7" s="89">
        <f>IF(tblDetailHPP[[#This Row],[KODE KOMPONEN]]="","",IF(tblDetailHPP[[#This Row],[STATUS HARGA]]="OK",ROUND(tblDetailHPP[[#This Row],[QTY PAKAI]]*tblDetailHPP[[#This Row],[HARGA PER SATUAN DASAR]],2),""))</f>
        <v>99.67</v>
      </c>
      <c r="K7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7" s="34">
        <f>IF(tblDetailHPP[[#This Row],[KODE PRODUK]]="",0,IFERROR(INDEX('PENJUALAN (QTY)'!$AH$3:$AH$500,MATCH(tblDetailHPP[[#This Row],[KODE PRODUK]],'PENJUALAN (QTY)'!$A$3:$A$500,0)),0))</f>
        <v>98</v>
      </c>
      <c r="M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9767.66</v>
      </c>
    </row>
    <row r="8" spans="1:13">
      <c r="A8" s="34" t="s">
        <v>179</v>
      </c>
      <c r="B8" s="34" t="str">
        <f>IFERROR(INDEX(tbl_Produk[NAMA PRODUK],MATCH(tblDetailHPP[[#This Row],[KODE PRODUK]],tbl_Produk[KODE PRODUK],0)),"")</f>
        <v>AYAM CRISPY ORIGINAL</v>
      </c>
      <c r="C8" s="34" t="s">
        <v>354</v>
      </c>
      <c r="D8" s="34" t="s">
        <v>150</v>
      </c>
      <c r="E8" s="34" t="str">
        <f>IF(tblDetailHPP[[#This Row],[KODE KOMPONEN]]="","",IFERROR(INDEX(tbl_BahanBaku[KATEGORI HPP],MATCH(tblDetailHPP[[#This Row],[KODE KOMPONEN]],tbl_BahanBaku[KODE KOMPONEN],0)),""))</f>
        <v>BUMBU &amp; PELENGKAP</v>
      </c>
      <c r="F8" s="34" t="str">
        <f>IF(tblDetailHPP[[#This Row],[KODE KOMPONEN]]="","",IFERROR(INDEX(tbl_BahanBaku[NAMA KOMPONEN],MATCH(tblDetailHPP[[#This Row],[KODE KOMPONEN]],tbl_BahanBaku[KODE KOMPONEN],0)),""))</f>
        <v>MINYAK</v>
      </c>
      <c r="G8" s="88">
        <v>50</v>
      </c>
      <c r="H8" s="34" t="s">
        <v>6</v>
      </c>
      <c r="I8" s="89">
        <f>IF(tblDetailHPP[[#This Row],[KODE KOMPONEN]]="","",IFERROR(INDEX(tbl_BahanBaku[HARGA PER SATUAN DASAR],MATCH(tblDetailHPP[[#This Row],[KODE KOMPONEN]],tbl_BahanBaku[KODE KOMPONEN],0)),""))</f>
        <v>23</v>
      </c>
      <c r="J8" s="89">
        <f>IF(tblDetailHPP[[#This Row],[KODE KOMPONEN]]="","",IF(tblDetailHPP[[#This Row],[STATUS HARGA]]="OK",ROUND(tblDetailHPP[[#This Row],[QTY PAKAI]]*tblDetailHPP[[#This Row],[HARGA PER SATUAN DASAR]],2),""))</f>
        <v>1150</v>
      </c>
      <c r="K8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8" s="34">
        <f>IF(tblDetailHPP[[#This Row],[KODE PRODUK]]="",0,IFERROR(INDEX('PENJUALAN (QTY)'!$AH$3:$AH$500,MATCH(tblDetailHPP[[#This Row],[KODE PRODUK]],'PENJUALAN (QTY)'!$A$3:$A$500,0)),0))</f>
        <v>98</v>
      </c>
      <c r="M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112700</v>
      </c>
    </row>
    <row r="9" spans="1:13">
      <c r="A9" s="34" t="s">
        <v>179</v>
      </c>
      <c r="B9" s="34" t="str">
        <f>IFERROR(INDEX(tbl_Produk[NAMA PRODUK],MATCH(tblDetailHPP[[#This Row],[KODE PRODUK]],tbl_Produk[KODE PRODUK],0)),"")</f>
        <v>AYAM CRISPY ORIGINAL</v>
      </c>
      <c r="C9" s="34" t="s">
        <v>354</v>
      </c>
      <c r="D9" s="34" t="s">
        <v>154</v>
      </c>
      <c r="E9" s="34" t="str">
        <f>IF(tblDetailHPP[[#This Row],[KODE KOMPONEN]]="","",IFERROR(INDEX(tbl_BahanBaku[KATEGORI HPP],MATCH(tblDetailHPP[[#This Row],[KODE KOMPONEN]],tbl_BahanBaku[KODE KOMPONEN],0)),""))</f>
        <v>KEMASAN &amp; SUPPLIES</v>
      </c>
      <c r="F9" s="34" t="str">
        <f>IF(tblDetailHPP[[#This Row],[KODE KOMPONEN]]="","",IFERROR(INDEX(tbl_BahanBaku[NAMA KOMPONEN],MATCH(tblDetailHPP[[#This Row],[KODE KOMPONEN]],tbl_BahanBaku[KODE KOMPONEN],0)),""))</f>
        <v>PAPER BAG BESAR</v>
      </c>
      <c r="G9" s="88">
        <v>1</v>
      </c>
      <c r="H9" s="34" t="s">
        <v>4</v>
      </c>
      <c r="I9" s="89">
        <f>IF(tblDetailHPP[[#This Row],[KODE KOMPONEN]]="","",IFERROR(INDEX(tbl_BahanBaku[HARGA PER SATUAN DASAR],MATCH(tblDetailHPP[[#This Row],[KODE KOMPONEN]],tbl_BahanBaku[KODE KOMPONEN],0)),""))</f>
        <v>240</v>
      </c>
      <c r="J9" s="89">
        <f>IF(tblDetailHPP[[#This Row],[KODE KOMPONEN]]="","",IF(tblDetailHPP[[#This Row],[STATUS HARGA]]="OK",ROUND(tblDetailHPP[[#This Row],[QTY PAKAI]]*tblDetailHPP[[#This Row],[HARGA PER SATUAN DASAR]],2),""))</f>
        <v>240</v>
      </c>
      <c r="K9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9" s="34">
        <f>IF(tblDetailHPP[[#This Row],[KODE PRODUK]]="",0,IFERROR(INDEX('PENJUALAN (QTY)'!$AH$3:$AH$500,MATCH(tblDetailHPP[[#This Row],[KODE PRODUK]],'PENJUALAN (QTY)'!$A$3:$A$500,0)),0))</f>
        <v>98</v>
      </c>
      <c r="M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23520</v>
      </c>
    </row>
    <row r="10" spans="1:13">
      <c r="A10" s="34" t="s">
        <v>179</v>
      </c>
      <c r="B10" s="34" t="str">
        <f>IFERROR(INDEX(tbl_Produk[NAMA PRODUK],MATCH(tblDetailHPP[[#This Row],[KODE PRODUK]],tbl_Produk[KODE PRODUK],0)),"")</f>
        <v>AYAM CRISPY ORIGINAL</v>
      </c>
      <c r="C10" s="34" t="s">
        <v>354</v>
      </c>
      <c r="D10" s="34" t="s">
        <v>158</v>
      </c>
      <c r="E10" s="34" t="str">
        <f>IF(tblDetailHPP[[#This Row],[KODE KOMPONEN]]="","",IFERROR(INDEX(tbl_BahanBaku[KATEGORI HPP],MATCH(tblDetailHPP[[#This Row],[KODE KOMPONEN]],tbl_BahanBaku[KODE KOMPONEN],0)),""))</f>
        <v>KEMASAN &amp; SUPPLIES</v>
      </c>
      <c r="F10" s="34" t="str">
        <f>IF(tblDetailHPP[[#This Row],[KODE KOMPONEN]]="","",IFERROR(INDEX(tbl_BahanBaku[NAMA KOMPONEN],MATCH(tblDetailHPP[[#This Row],[KODE KOMPONEN]],tbl_BahanBaku[KODE KOMPONEN],0)),""))</f>
        <v>PLASTIK UK. 15</v>
      </c>
      <c r="G10" s="88">
        <v>1</v>
      </c>
      <c r="H10" s="34" t="s">
        <v>4</v>
      </c>
      <c r="I10" s="89">
        <f>IF(tblDetailHPP[[#This Row],[KODE KOMPONEN]]="","",IFERROR(INDEX(tbl_BahanBaku[HARGA PER SATUAN DASAR],MATCH(tblDetailHPP[[#This Row],[KODE KOMPONEN]],tbl_BahanBaku[KODE KOMPONEN],0)),""))</f>
        <v>280</v>
      </c>
      <c r="J10" s="89">
        <f>IF(tblDetailHPP[[#This Row],[KODE KOMPONEN]]="","",IF(tblDetailHPP[[#This Row],[STATUS HARGA]]="OK",ROUND(tblDetailHPP[[#This Row],[QTY PAKAI]]*tblDetailHPP[[#This Row],[HARGA PER SATUAN DASAR]],2),""))</f>
        <v>280</v>
      </c>
      <c r="K10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10" s="34">
        <f>IF(tblDetailHPP[[#This Row],[KODE PRODUK]]="",0,IFERROR(INDEX('PENJUALAN (QTY)'!$AH$3:$AH$500,MATCH(tblDetailHPP[[#This Row],[KODE PRODUK]],'PENJUALAN (QTY)'!$A$3:$A$500,0)),0))</f>
        <v>98</v>
      </c>
      <c r="M1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27440</v>
      </c>
    </row>
    <row r="11" spans="1:13">
      <c r="A11" s="34" t="s">
        <v>179</v>
      </c>
      <c r="B11" s="34" t="str">
        <f>IFERROR(INDEX(tbl_Produk[NAMA PRODUK],MATCH(tblDetailHPP[[#This Row],[KODE PRODUK]],tbl_Produk[KODE PRODUK],0)),"")</f>
        <v>AYAM CRISPY ORIGINAL</v>
      </c>
      <c r="C11" s="34" t="s">
        <v>354</v>
      </c>
      <c r="D11" s="34" t="s">
        <v>164</v>
      </c>
      <c r="E11" s="34" t="str">
        <f>IF(tblDetailHPP[[#This Row],[KODE KOMPONEN]]="","",IFERROR(INDEX(tbl_BahanBaku[KATEGORI HPP],MATCH(tblDetailHPP[[#This Row],[KODE KOMPONEN]],tbl_BahanBaku[KODE KOMPONEN],0)),""))</f>
        <v>BUMBU &amp; PELENGKAP</v>
      </c>
      <c r="F11" s="34" t="str">
        <f>IF(tblDetailHPP[[#This Row],[KODE KOMPONEN]]="","",IFERROR(INDEX(tbl_BahanBaku[NAMA KOMPONEN],MATCH(tblDetailHPP[[#This Row],[KODE KOMPONEN]],tbl_BahanBaku[KODE KOMPONEN],0)),""))</f>
        <v>SAUS SACHET SAMBAL</v>
      </c>
      <c r="G11" s="88">
        <v>1</v>
      </c>
      <c r="H11" s="34" t="s">
        <v>4</v>
      </c>
      <c r="I11" s="89">
        <f>IF(tblDetailHPP[[#This Row],[KODE KOMPONEN]]="","",IFERROR(INDEX(tbl_BahanBaku[HARGA PER SATUAN DASAR],MATCH(tblDetailHPP[[#This Row],[KODE KOMPONEN]],tbl_BahanBaku[KODE KOMPONEN],0)),""))</f>
        <v>208.33333333333334</v>
      </c>
      <c r="J11" s="89">
        <f>IF(tblDetailHPP[[#This Row],[KODE KOMPONEN]]="","",IF(tblDetailHPP[[#This Row],[STATUS HARGA]]="OK",ROUND(tblDetailHPP[[#This Row],[QTY PAKAI]]*tblDetailHPP[[#This Row],[HARGA PER SATUAN DASAR]],2),""))</f>
        <v>208.33</v>
      </c>
      <c r="K11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11" s="34">
        <f>IF(tblDetailHPP[[#This Row],[KODE PRODUK]]="",0,IFERROR(INDEX('PENJUALAN (QTY)'!$AH$3:$AH$500,MATCH(tblDetailHPP[[#This Row],[KODE PRODUK]],'PENJUALAN (QTY)'!$A$3:$A$500,0)),0))</f>
        <v>98</v>
      </c>
      <c r="M1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20416.34</v>
      </c>
    </row>
    <row r="12" spans="1:13">
      <c r="A12" s="34" t="s">
        <v>179</v>
      </c>
      <c r="B12" s="34" t="str">
        <f>IFERROR(INDEX(tbl_Produk[NAMA PRODUK],MATCH(tblDetailHPP[[#This Row],[KODE PRODUK]],tbl_Produk[KODE PRODUK],0)),"")</f>
        <v>AYAM CRISPY ORIGINAL</v>
      </c>
      <c r="C12" s="34" t="s">
        <v>354</v>
      </c>
      <c r="D12" s="34" t="s">
        <v>165</v>
      </c>
      <c r="E12" s="34" t="str">
        <f>IF(tblDetailHPP[[#This Row],[KODE KOMPONEN]]="","",IFERROR(INDEX(tbl_BahanBaku[KATEGORI HPP],MATCH(tblDetailHPP[[#This Row],[KODE KOMPONEN]],tbl_BahanBaku[KODE KOMPONEN],0)),""))</f>
        <v>BUMBU &amp; PELENGKAP</v>
      </c>
      <c r="F12" s="34" t="str">
        <f>IF(tblDetailHPP[[#This Row],[KODE KOMPONEN]]="","",IFERROR(INDEX(tbl_BahanBaku[NAMA KOMPONEN],MATCH(tblDetailHPP[[#This Row],[KODE KOMPONEN]],tbl_BahanBaku[KODE KOMPONEN],0)),""))</f>
        <v>SAUS SACHET TOMAT</v>
      </c>
      <c r="G12" s="88">
        <v>1</v>
      </c>
      <c r="H12" s="34" t="s">
        <v>4</v>
      </c>
      <c r="I12" s="89">
        <f>IF(tblDetailHPP[[#This Row],[KODE KOMPONEN]]="","",IFERROR(INDEX(tbl_BahanBaku[HARGA PER SATUAN DASAR],MATCH(tblDetailHPP[[#This Row],[KODE KOMPONEN]],tbl_BahanBaku[KODE KOMPONEN],0)),""))</f>
        <v>208.33333333333334</v>
      </c>
      <c r="J12" s="89">
        <f>IF(tblDetailHPP[[#This Row],[KODE KOMPONEN]]="","",IF(tblDetailHPP[[#This Row],[STATUS HARGA]]="OK",ROUND(tblDetailHPP[[#This Row],[QTY PAKAI]]*tblDetailHPP[[#This Row],[HARGA PER SATUAN DASAR]],2),""))</f>
        <v>208.33</v>
      </c>
      <c r="K12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12" s="34">
        <f>IF(tblDetailHPP[[#This Row],[KODE PRODUK]]="",0,IFERROR(INDEX('PENJUALAN (QTY)'!$AH$3:$AH$500,MATCH(tblDetailHPP[[#This Row],[KODE PRODUK]],'PENJUALAN (QTY)'!$A$3:$A$500,0)),0))</f>
        <v>98</v>
      </c>
      <c r="M1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20416.34</v>
      </c>
    </row>
    <row r="13" spans="1:13">
      <c r="A13" s="34" t="s">
        <v>179</v>
      </c>
      <c r="B13" s="34" t="str">
        <f>IFERROR(INDEX(tbl_Produk[NAMA PRODUK],MATCH(tblDetailHPP[[#This Row],[KODE PRODUK]],tbl_Produk[KODE PRODUK],0)),"")</f>
        <v>AYAM CRISPY ORIGINAL</v>
      </c>
      <c r="C13" s="34" t="s">
        <v>354</v>
      </c>
      <c r="D13" s="34" t="s">
        <v>174</v>
      </c>
      <c r="E13" s="34" t="str">
        <f>IF(tblDetailHPP[[#This Row],[KODE KOMPONEN]]="","",IFERROR(INDEX(tbl_BahanBaku[KATEGORI HPP],MATCH(tblDetailHPP[[#This Row],[KODE KOMPONEN]],tbl_BahanBaku[KODE KOMPONEN],0)),""))</f>
        <v>BUMBU &amp; PELENGKAP</v>
      </c>
      <c r="F13" s="34" t="str">
        <f>IF(tblDetailHPP[[#This Row],[KODE KOMPONEN]]="","",IFERROR(INDEX(tbl_BahanBaku[NAMA KOMPONEN],MATCH(tblDetailHPP[[#This Row],[KODE KOMPONEN]],tbl_BahanBaku[KODE KOMPONEN],0)),""))</f>
        <v>TEPUNG TERIGU</v>
      </c>
      <c r="G13" s="88">
        <v>125</v>
      </c>
      <c r="H13" s="34" t="s">
        <v>5</v>
      </c>
      <c r="I13" s="89">
        <f>IF(tblDetailHPP[[#This Row],[KODE KOMPONEN]]="","",IFERROR(INDEX(tbl_BahanBaku[HARGA PER SATUAN DASAR],MATCH(tblDetailHPP[[#This Row],[KODE KOMPONEN]],tbl_BahanBaku[KODE KOMPONEN],0)),""))</f>
        <v>8</v>
      </c>
      <c r="J13" s="89">
        <f>IF(tblDetailHPP[[#This Row],[KODE KOMPONEN]]="","",IF(tblDetailHPP[[#This Row],[STATUS HARGA]]="OK",ROUND(tblDetailHPP[[#This Row],[QTY PAKAI]]*tblDetailHPP[[#This Row],[HARGA PER SATUAN DASAR]],2),""))</f>
        <v>1000</v>
      </c>
      <c r="K13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13" s="34">
        <f>IF(tblDetailHPP[[#This Row],[KODE PRODUK]]="",0,IFERROR(INDEX('PENJUALAN (QTY)'!$AH$3:$AH$500,MATCH(tblDetailHPP[[#This Row],[KODE PRODUK]],'PENJUALAN (QTY)'!$A$3:$A$500,0)),0))</f>
        <v>98</v>
      </c>
      <c r="M1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98000</v>
      </c>
    </row>
    <row r="14" spans="1:13">
      <c r="A14" s="34" t="s">
        <v>180</v>
      </c>
      <c r="B14" s="34" t="str">
        <f>IFERROR(INDEX(tbl_Produk[NAMA PRODUK],MATCH(tblDetailHPP[[#This Row],[KODE PRODUK]],tbl_Produk[KODE PRODUK],0)),"")</f>
        <v>AYAM CRISPY ORIGINAL + NASI</v>
      </c>
      <c r="C14" s="34" t="s">
        <v>354</v>
      </c>
      <c r="D14" s="34" t="s">
        <v>114</v>
      </c>
      <c r="E14" s="34" t="str">
        <f>IF(tblDetailHPP[[#This Row],[KODE KOMPONEN]]="","",IFERROR(INDEX(tbl_BahanBaku[KATEGORI HPP],MATCH(tblDetailHPP[[#This Row],[KODE KOMPONEN]],tbl_BahanBaku[KODE KOMPONEN],0)),""))</f>
        <v>BAHAN UTAMA</v>
      </c>
      <c r="F14" s="34" t="str">
        <f>IF(tblDetailHPP[[#This Row],[KODE KOMPONEN]]="","",IFERROR(INDEX(tbl_BahanBaku[NAMA KOMPONEN],MATCH(tblDetailHPP[[#This Row],[KODE KOMPONEN]],tbl_BahanBaku[KODE KOMPONEN],0)),""))</f>
        <v>AYAM POTONG</v>
      </c>
      <c r="G14" s="88">
        <v>83.3</v>
      </c>
      <c r="H14" s="34" t="s">
        <v>5</v>
      </c>
      <c r="I14" s="89">
        <f>IF(tblDetailHPP[[#This Row],[KODE KOMPONEN]]="","",IFERROR(INDEX(tbl_BahanBaku[HARGA PER SATUAN DASAR],MATCH(tblDetailHPP[[#This Row],[KODE KOMPONEN]],tbl_BahanBaku[KODE KOMPONEN],0)),""))</f>
        <v>26.5</v>
      </c>
      <c r="J14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14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14" s="34">
        <f>IF(tblDetailHPP[[#This Row],[KODE PRODUK]]="",0,IFERROR(INDEX('PENJUALAN (QTY)'!$AH$3:$AH$500,MATCH(tblDetailHPP[[#This Row],[KODE PRODUK]],'PENJUALAN (QTY)'!$A$3:$A$500,0)),0))</f>
        <v>11</v>
      </c>
      <c r="M1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24281.949999999997</v>
      </c>
    </row>
    <row r="15" spans="1:13">
      <c r="A15" s="34" t="s">
        <v>180</v>
      </c>
      <c r="B15" s="34" t="str">
        <f>IFERROR(INDEX(tbl_Produk[NAMA PRODUK],MATCH(tblDetailHPP[[#This Row],[KODE PRODUK]],tbl_Produk[KODE PRODUK],0)),"")</f>
        <v>AYAM CRISPY ORIGINAL + NASI</v>
      </c>
      <c r="C15" s="34" t="s">
        <v>354</v>
      </c>
      <c r="D15" s="34" t="s">
        <v>120</v>
      </c>
      <c r="E15" s="34" t="str">
        <f>IF(tblDetailHPP[[#This Row],[KODE KOMPONEN]]="","",IFERROR(INDEX(tbl_BahanBaku[KATEGORI HPP],MATCH(tblDetailHPP[[#This Row],[KODE KOMPONEN]],tbl_BahanBaku[KODE KOMPONEN],0)),""))</f>
        <v>BAHAN UTAMA</v>
      </c>
      <c r="F15" s="34" t="str">
        <f>IF(tblDetailHPP[[#This Row],[KODE KOMPONEN]]="","",IFERROR(INDEX(tbl_BahanBaku[NAMA KOMPONEN],MATCH(tblDetailHPP[[#This Row],[KODE KOMPONEN]],tbl_BahanBaku[KODE KOMPONEN],0)),""))</f>
        <v>BERAS</v>
      </c>
      <c r="G15" s="88">
        <v>76.900000000000006</v>
      </c>
      <c r="H15" s="34" t="s">
        <v>5</v>
      </c>
      <c r="I15" s="89">
        <f>IF(tblDetailHPP[[#This Row],[KODE KOMPONEN]]="","",IFERROR(INDEX(tbl_BahanBaku[HARGA PER SATUAN DASAR],MATCH(tblDetailHPP[[#This Row],[KODE KOMPONEN]],tbl_BahanBaku[KODE KOMPONEN],0)),""))</f>
        <v>14</v>
      </c>
      <c r="J15" s="89">
        <f>IF(tblDetailHPP[[#This Row],[KODE KOMPONEN]]="","",IF(tblDetailHPP[[#This Row],[STATUS HARGA]]="OK",ROUND(tblDetailHPP[[#This Row],[QTY PAKAI]]*tblDetailHPP[[#This Row],[HARGA PER SATUAN DASAR]],2),""))</f>
        <v>1076.5999999999999</v>
      </c>
      <c r="K15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15" s="34">
        <f>IF(tblDetailHPP[[#This Row],[KODE PRODUK]]="",0,IFERROR(INDEX('PENJUALAN (QTY)'!$AH$3:$AH$500,MATCH(tblDetailHPP[[#This Row],[KODE PRODUK]],'PENJUALAN (QTY)'!$A$3:$A$500,0)),0))</f>
        <v>11</v>
      </c>
      <c r="M1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11842.599999999999</v>
      </c>
    </row>
    <row r="16" spans="1:13">
      <c r="A16" s="34" t="s">
        <v>180</v>
      </c>
      <c r="B16" s="34" t="str">
        <f>IFERROR(INDEX(tbl_Produk[NAMA PRODUK],MATCH(tblDetailHPP[[#This Row],[KODE PRODUK]],tbl_Produk[KODE PRODUK],0)),"")</f>
        <v>AYAM CRISPY ORIGINAL + NASI</v>
      </c>
      <c r="C16" s="34" t="s">
        <v>354</v>
      </c>
      <c r="D16" s="34" t="s">
        <v>121</v>
      </c>
      <c r="E16" s="34" t="str">
        <f>IF(tblDetailHPP[[#This Row],[KODE KOMPONEN]]="","",IFERROR(INDEX(tbl_BahanBaku[KATEGORI HPP],MATCH(tblDetailHPP[[#This Row],[KODE KOMPONEN]],tbl_BahanBaku[KODE KOMPONEN],0)),""))</f>
        <v>BUMBU &amp; PELENGKAP</v>
      </c>
      <c r="F16" s="34" t="str">
        <f>IF(tblDetailHPP[[#This Row],[KODE KOMPONEN]]="","",IFERROR(INDEX(tbl_BahanBaku[NAMA KOMPONEN],MATCH(tblDetailHPP[[#This Row],[KODE KOMPONEN]],tbl_BahanBaku[KODE KOMPONEN],0)),""))</f>
        <v>BUMBU MARINASI</v>
      </c>
      <c r="G16" s="88">
        <v>2.5</v>
      </c>
      <c r="H16" s="34" t="s">
        <v>5</v>
      </c>
      <c r="I16" s="89">
        <f>IF(tblDetailHPP[[#This Row],[KODE KOMPONEN]]="","",IFERROR(INDEX(tbl_BahanBaku[HARGA PER SATUAN DASAR],MATCH(tblDetailHPP[[#This Row],[KODE KOMPONEN]],tbl_BahanBaku[KODE KOMPONEN],0)),""))</f>
        <v>71.666666666666671</v>
      </c>
      <c r="J16" s="89">
        <f>IF(tblDetailHPP[[#This Row],[KODE KOMPONEN]]="","",IF(tblDetailHPP[[#This Row],[STATUS HARGA]]="OK",ROUND(tblDetailHPP[[#This Row],[QTY PAKAI]]*tblDetailHPP[[#This Row],[HARGA PER SATUAN DASAR]],2),""))</f>
        <v>179.17</v>
      </c>
      <c r="K16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16" s="34">
        <f>IF(tblDetailHPP[[#This Row],[KODE PRODUK]]="",0,IFERROR(INDEX('PENJUALAN (QTY)'!$AH$3:$AH$500,MATCH(tblDetailHPP[[#This Row],[KODE PRODUK]],'PENJUALAN (QTY)'!$A$3:$A$500,0)),0))</f>
        <v>11</v>
      </c>
      <c r="M1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1970.87</v>
      </c>
    </row>
    <row r="17" spans="1:13">
      <c r="A17" s="34" t="s">
        <v>180</v>
      </c>
      <c r="B17" s="34" t="str">
        <f>IFERROR(INDEX(tbl_Produk[NAMA PRODUK],MATCH(tblDetailHPP[[#This Row],[KODE PRODUK]],tbl_Produk[KODE PRODUK],0)),"")</f>
        <v>AYAM CRISPY ORIGINAL + NASI</v>
      </c>
      <c r="C17" s="34" t="s">
        <v>354</v>
      </c>
      <c r="D17" s="34" t="s">
        <v>142</v>
      </c>
      <c r="E17" s="34" t="str">
        <f>IF(tblDetailHPP[[#This Row],[KODE KOMPONEN]]="","",IFERROR(INDEX(tbl_BahanBaku[KATEGORI HPP],MATCH(tblDetailHPP[[#This Row],[KODE KOMPONEN]],tbl_BahanBaku[KODE KOMPONEN],0)),""))</f>
        <v>OVERHEAD / OPERASIONAL</v>
      </c>
      <c r="F17" s="34" t="str">
        <f>IF(tblDetailHPP[[#This Row],[KODE KOMPONEN]]="","",IFERROR(INDEX(tbl_BahanBaku[NAMA KOMPONEN],MATCH(tblDetailHPP[[#This Row],[KODE KOMPONEN]],tbl_BahanBaku[KODE KOMPONEN],0)),""))</f>
        <v>KERTAS PRINTER</v>
      </c>
      <c r="G17" s="88">
        <v>15</v>
      </c>
      <c r="H17" s="34" t="s">
        <v>222</v>
      </c>
      <c r="I17" s="89">
        <f>IF(tblDetailHPP[[#This Row],[KODE KOMPONEN]]="","",IFERROR(INDEX(tbl_BahanBaku[HARGA PER SATUAN DASAR],MATCH(tblDetailHPP[[#This Row],[KODE KOMPONEN]],tbl_BahanBaku[KODE KOMPONEN],0)),""))</f>
        <v>5</v>
      </c>
      <c r="J17" s="89">
        <f>IF(tblDetailHPP[[#This Row],[KODE KOMPONEN]]="","",IF(tblDetailHPP[[#This Row],[STATUS HARGA]]="OK",ROUND(tblDetailHPP[[#This Row],[QTY PAKAI]]*tblDetailHPP[[#This Row],[HARGA PER SATUAN DASAR]],2),""))</f>
        <v>75</v>
      </c>
      <c r="K17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17" s="34">
        <f>IF(tblDetailHPP[[#This Row],[KODE PRODUK]]="",0,IFERROR(INDEX('PENJUALAN (QTY)'!$AH$3:$AH$500,MATCH(tblDetailHPP[[#This Row],[KODE PRODUK]],'PENJUALAN (QTY)'!$A$3:$A$500,0)),0))</f>
        <v>11</v>
      </c>
      <c r="M1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825</v>
      </c>
    </row>
    <row r="18" spans="1:13">
      <c r="A18" s="34" t="s">
        <v>180</v>
      </c>
      <c r="B18" s="34" t="str">
        <f>IFERROR(INDEX(tbl_Produk[NAMA PRODUK],MATCH(tblDetailHPP[[#This Row],[KODE PRODUK]],tbl_Produk[KODE PRODUK],0)),"")</f>
        <v>AYAM CRISPY ORIGINAL + NASI</v>
      </c>
      <c r="C18" s="34" t="s">
        <v>354</v>
      </c>
      <c r="D18" s="34" t="s">
        <v>143</v>
      </c>
      <c r="E18" s="34" t="str">
        <f>IF(tblDetailHPP[[#This Row],[KODE KOMPONEN]]="","",IFERROR(INDEX(tbl_BahanBaku[KATEGORI HPP],MATCH(tblDetailHPP[[#This Row],[KODE KOMPONEN]],tbl_BahanBaku[KODE KOMPONEN],0)),""))</f>
        <v>OVERHEAD / OPERASIONAL</v>
      </c>
      <c r="F18" s="34" t="str">
        <f>IF(tblDetailHPP[[#This Row],[KODE KOMPONEN]]="","",IFERROR(INDEX(tbl_BahanBaku[NAMA KOMPONEN],MATCH(tblDetailHPP[[#This Row],[KODE KOMPONEN]],tbl_BahanBaku[KODE KOMPONEN],0)),""))</f>
        <v>LPG 3KG</v>
      </c>
      <c r="G18" s="88">
        <v>26</v>
      </c>
      <c r="H18" s="34" t="s">
        <v>5</v>
      </c>
      <c r="I18" s="89">
        <f>IF(tblDetailHPP[[#This Row],[KODE KOMPONEN]]="","",IFERROR(INDEX(tbl_BahanBaku[HARGA PER SATUAN DASAR],MATCH(tblDetailHPP[[#This Row],[KODE KOMPONEN]],tbl_BahanBaku[KODE KOMPONEN],0)),""))</f>
        <v>7.666666666666667</v>
      </c>
      <c r="J18" s="89">
        <f>IF(tblDetailHPP[[#This Row],[KODE KOMPONEN]]="","",IF(tblDetailHPP[[#This Row],[STATUS HARGA]]="OK",ROUND(tblDetailHPP[[#This Row],[QTY PAKAI]]*tblDetailHPP[[#This Row],[HARGA PER SATUAN DASAR]],2),""))</f>
        <v>199.33</v>
      </c>
      <c r="K18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18" s="34">
        <f>IF(tblDetailHPP[[#This Row],[KODE PRODUK]]="",0,IFERROR(INDEX('PENJUALAN (QTY)'!$AH$3:$AH$500,MATCH(tblDetailHPP[[#This Row],[KODE PRODUK]],'PENJUALAN (QTY)'!$A$3:$A$500,0)),0))</f>
        <v>11</v>
      </c>
      <c r="M1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2192.63</v>
      </c>
    </row>
    <row r="19" spans="1:13">
      <c r="A19" s="34" t="s">
        <v>180</v>
      </c>
      <c r="B19" s="34" t="str">
        <f>IFERROR(INDEX(tbl_Produk[NAMA PRODUK],MATCH(tblDetailHPP[[#This Row],[KODE PRODUK]],tbl_Produk[KODE PRODUK],0)),"")</f>
        <v>AYAM CRISPY ORIGINAL + NASI</v>
      </c>
      <c r="C19" s="34" t="s">
        <v>354</v>
      </c>
      <c r="D19" s="34" t="s">
        <v>145</v>
      </c>
      <c r="E19" s="34" t="str">
        <f>IF(tblDetailHPP[[#This Row],[KODE KOMPONEN]]="","",IFERROR(INDEX(tbl_BahanBaku[KATEGORI HPP],MATCH(tblDetailHPP[[#This Row],[KODE KOMPONEN]],tbl_BahanBaku[KODE KOMPONEN],0)),""))</f>
        <v>KEMASAN &amp; SUPPLIES</v>
      </c>
      <c r="F19" s="34" t="str">
        <f>IF(tblDetailHPP[[#This Row],[KODE KOMPONEN]]="","",IFERROR(INDEX(tbl_BahanBaku[NAMA KOMPONEN],MATCH(tblDetailHPP[[#This Row],[KODE KOMPONEN]],tbl_BahanBaku[KODE KOMPONEN],0)),""))</f>
        <v>LUNCHBOX M</v>
      </c>
      <c r="G19" s="88">
        <v>1</v>
      </c>
      <c r="H19" s="34" t="s">
        <v>4</v>
      </c>
      <c r="I19" s="89">
        <f>IF(tblDetailHPP[[#This Row],[KODE KOMPONEN]]="","",IFERROR(INDEX(tbl_BahanBaku[HARGA PER SATUAN DASAR],MATCH(tblDetailHPP[[#This Row],[KODE KOMPONEN]],tbl_BahanBaku[KODE KOMPONEN],0)),""))</f>
        <v>550</v>
      </c>
      <c r="J19" s="89">
        <f>IF(tblDetailHPP[[#This Row],[KODE KOMPONEN]]="","",IF(tblDetailHPP[[#This Row],[STATUS HARGA]]="OK",ROUND(tblDetailHPP[[#This Row],[QTY PAKAI]]*tblDetailHPP[[#This Row],[HARGA PER SATUAN DASAR]],2),""))</f>
        <v>550</v>
      </c>
      <c r="K19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19" s="34">
        <f>IF(tblDetailHPP[[#This Row],[KODE PRODUK]]="",0,IFERROR(INDEX('PENJUALAN (QTY)'!$AH$3:$AH$500,MATCH(tblDetailHPP[[#This Row],[KODE PRODUK]],'PENJUALAN (QTY)'!$A$3:$A$500,0)),0))</f>
        <v>11</v>
      </c>
      <c r="M1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6050</v>
      </c>
    </row>
    <row r="20" spans="1:13">
      <c r="A20" s="34" t="s">
        <v>180</v>
      </c>
      <c r="B20" s="34" t="str">
        <f>IFERROR(INDEX(tbl_Produk[NAMA PRODUK],MATCH(tblDetailHPP[[#This Row],[KODE PRODUK]],tbl_Produk[KODE PRODUK],0)),"")</f>
        <v>AYAM CRISPY ORIGINAL + NASI</v>
      </c>
      <c r="C20" s="34" t="s">
        <v>354</v>
      </c>
      <c r="D20" s="34" t="s">
        <v>150</v>
      </c>
      <c r="E20" s="34" t="str">
        <f>IF(tblDetailHPP[[#This Row],[KODE KOMPONEN]]="","",IFERROR(INDEX(tbl_BahanBaku[KATEGORI HPP],MATCH(tblDetailHPP[[#This Row],[KODE KOMPONEN]],tbl_BahanBaku[KODE KOMPONEN],0)),""))</f>
        <v>BUMBU &amp; PELENGKAP</v>
      </c>
      <c r="F20" s="34" t="str">
        <f>IF(tblDetailHPP[[#This Row],[KODE KOMPONEN]]="","",IFERROR(INDEX(tbl_BahanBaku[NAMA KOMPONEN],MATCH(tblDetailHPP[[#This Row],[KODE KOMPONEN]],tbl_BahanBaku[KODE KOMPONEN],0)),""))</f>
        <v>MINYAK</v>
      </c>
      <c r="G20" s="88">
        <v>50</v>
      </c>
      <c r="H20" s="34" t="s">
        <v>6</v>
      </c>
      <c r="I20" s="89">
        <f>IF(tblDetailHPP[[#This Row],[KODE KOMPONEN]]="","",IFERROR(INDEX(tbl_BahanBaku[HARGA PER SATUAN DASAR],MATCH(tblDetailHPP[[#This Row],[KODE KOMPONEN]],tbl_BahanBaku[KODE KOMPONEN],0)),""))</f>
        <v>23</v>
      </c>
      <c r="J20" s="89">
        <f>IF(tblDetailHPP[[#This Row],[KODE KOMPONEN]]="","",IF(tblDetailHPP[[#This Row],[STATUS HARGA]]="OK",ROUND(tblDetailHPP[[#This Row],[QTY PAKAI]]*tblDetailHPP[[#This Row],[HARGA PER SATUAN DASAR]],2),""))</f>
        <v>1150</v>
      </c>
      <c r="K20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20" s="34">
        <f>IF(tblDetailHPP[[#This Row],[KODE PRODUK]]="",0,IFERROR(INDEX('PENJUALAN (QTY)'!$AH$3:$AH$500,MATCH(tblDetailHPP[[#This Row],[KODE PRODUK]],'PENJUALAN (QTY)'!$A$3:$A$500,0)),0))</f>
        <v>11</v>
      </c>
      <c r="M2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12650</v>
      </c>
    </row>
    <row r="21" spans="1:13">
      <c r="A21" s="34" t="s">
        <v>180</v>
      </c>
      <c r="B21" s="34" t="str">
        <f>IFERROR(INDEX(tbl_Produk[NAMA PRODUK],MATCH(tblDetailHPP[[#This Row],[KODE PRODUK]],tbl_Produk[KODE PRODUK],0)),"")</f>
        <v>AYAM CRISPY ORIGINAL + NASI</v>
      </c>
      <c r="C21" s="34" t="s">
        <v>354</v>
      </c>
      <c r="D21" s="34" t="s">
        <v>156</v>
      </c>
      <c r="E21" s="34" t="str">
        <f>IF(tblDetailHPP[[#This Row],[KODE KOMPONEN]]="","",IFERROR(INDEX(tbl_BahanBaku[KATEGORI HPP],MATCH(tblDetailHPP[[#This Row],[KODE KOMPONEN]],tbl_BahanBaku[KODE KOMPONEN],0)),""))</f>
        <v>KEMASAN &amp; SUPPLIES</v>
      </c>
      <c r="F21" s="34" t="str">
        <f>IF(tblDetailHPP[[#This Row],[KODE KOMPONEN]]="","",IFERROR(INDEX(tbl_BahanBaku[NAMA KOMPONEN],MATCH(tblDetailHPP[[#This Row],[KODE KOMPONEN]],tbl_BahanBaku[KODE KOMPONEN],0)),""))</f>
        <v>PAPER RICE</v>
      </c>
      <c r="G21" s="88">
        <v>1</v>
      </c>
      <c r="H21" s="34" t="s">
        <v>76</v>
      </c>
      <c r="I21" s="89">
        <f>IF(tblDetailHPP[[#This Row],[KODE KOMPONEN]]="","",IFERROR(INDEX(tbl_BahanBaku[HARGA PER SATUAN DASAR],MATCH(tblDetailHPP[[#This Row],[KODE KOMPONEN]],tbl_BahanBaku[KODE KOMPONEN],0)),""))</f>
        <v>100</v>
      </c>
      <c r="J21" s="89">
        <f>IF(tblDetailHPP[[#This Row],[KODE KOMPONEN]]="","",IF(tblDetailHPP[[#This Row],[STATUS HARGA]]="OK",ROUND(tblDetailHPP[[#This Row],[QTY PAKAI]]*tblDetailHPP[[#This Row],[HARGA PER SATUAN DASAR]],2),""))</f>
        <v>100</v>
      </c>
      <c r="K21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21" s="34">
        <f>IF(tblDetailHPP[[#This Row],[KODE PRODUK]]="",0,IFERROR(INDEX('PENJUALAN (QTY)'!$AH$3:$AH$500,MATCH(tblDetailHPP[[#This Row],[KODE PRODUK]],'PENJUALAN (QTY)'!$A$3:$A$500,0)),0))</f>
        <v>11</v>
      </c>
      <c r="M2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1100</v>
      </c>
    </row>
    <row r="22" spans="1:13">
      <c r="A22" s="34" t="s">
        <v>180</v>
      </c>
      <c r="B22" s="34" t="str">
        <f>IFERROR(INDEX(tbl_Produk[NAMA PRODUK],MATCH(tblDetailHPP[[#This Row],[KODE PRODUK]],tbl_Produk[KODE PRODUK],0)),"")</f>
        <v>AYAM CRISPY ORIGINAL + NASI</v>
      </c>
      <c r="C22" s="34" t="s">
        <v>354</v>
      </c>
      <c r="D22" s="34" t="s">
        <v>159</v>
      </c>
      <c r="E22" s="34" t="str">
        <f>IF(tblDetailHPP[[#This Row],[KODE KOMPONEN]]="","",IFERROR(INDEX(tbl_BahanBaku[KATEGORI HPP],MATCH(tblDetailHPP[[#This Row],[KODE KOMPONEN]],tbl_BahanBaku[KODE KOMPONEN],0)),""))</f>
        <v>KEMASAN &amp; SUPPLIES</v>
      </c>
      <c r="F22" s="34" t="str">
        <f>IF(tblDetailHPP[[#This Row],[KODE KOMPONEN]]="","",IFERROR(INDEX(tbl_BahanBaku[NAMA KOMPONEN],MATCH(tblDetailHPP[[#This Row],[KODE KOMPONEN]],tbl_BahanBaku[KODE KOMPONEN],0)),""))</f>
        <v>PLASTIK UK. 21</v>
      </c>
      <c r="G22" s="88">
        <v>1</v>
      </c>
      <c r="H22" s="34" t="s">
        <v>4</v>
      </c>
      <c r="I22" s="89">
        <f>IF(tblDetailHPP[[#This Row],[KODE KOMPONEN]]="","",IFERROR(INDEX(tbl_BahanBaku[HARGA PER SATUAN DASAR],MATCH(tblDetailHPP[[#This Row],[KODE KOMPONEN]],tbl_BahanBaku[KODE KOMPONEN],0)),""))</f>
        <v>280</v>
      </c>
      <c r="J22" s="89">
        <f>IF(tblDetailHPP[[#This Row],[KODE KOMPONEN]]="","",IF(tblDetailHPP[[#This Row],[STATUS HARGA]]="OK",ROUND(tblDetailHPP[[#This Row],[QTY PAKAI]]*tblDetailHPP[[#This Row],[HARGA PER SATUAN DASAR]],2),""))</f>
        <v>280</v>
      </c>
      <c r="K22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22" s="34">
        <f>IF(tblDetailHPP[[#This Row],[KODE PRODUK]]="",0,IFERROR(INDEX('PENJUALAN (QTY)'!$AH$3:$AH$500,MATCH(tblDetailHPP[[#This Row],[KODE PRODUK]],'PENJUALAN (QTY)'!$A$3:$A$500,0)),0))</f>
        <v>11</v>
      </c>
      <c r="M2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3080</v>
      </c>
    </row>
    <row r="23" spans="1:13">
      <c r="A23" s="34" t="s">
        <v>180</v>
      </c>
      <c r="B23" s="34" t="str">
        <f>IFERROR(INDEX(tbl_Produk[NAMA PRODUK],MATCH(tblDetailHPP[[#This Row],[KODE PRODUK]],tbl_Produk[KODE PRODUK],0)),"")</f>
        <v>AYAM CRISPY ORIGINAL + NASI</v>
      </c>
      <c r="C23" s="34" t="s">
        <v>354</v>
      </c>
      <c r="D23" s="34" t="s">
        <v>164</v>
      </c>
      <c r="E23" s="34" t="str">
        <f>IF(tblDetailHPP[[#This Row],[KODE KOMPONEN]]="","",IFERROR(INDEX(tbl_BahanBaku[KATEGORI HPP],MATCH(tblDetailHPP[[#This Row],[KODE KOMPONEN]],tbl_BahanBaku[KODE KOMPONEN],0)),""))</f>
        <v>BUMBU &amp; PELENGKAP</v>
      </c>
      <c r="F23" s="34" t="str">
        <f>IF(tblDetailHPP[[#This Row],[KODE KOMPONEN]]="","",IFERROR(INDEX(tbl_BahanBaku[NAMA KOMPONEN],MATCH(tblDetailHPP[[#This Row],[KODE KOMPONEN]],tbl_BahanBaku[KODE KOMPONEN],0)),""))</f>
        <v>SAUS SACHET SAMBAL</v>
      </c>
      <c r="G23" s="88">
        <v>1</v>
      </c>
      <c r="H23" s="34" t="s">
        <v>4</v>
      </c>
      <c r="I23" s="89">
        <f>IF(tblDetailHPP[[#This Row],[KODE KOMPONEN]]="","",IFERROR(INDEX(tbl_BahanBaku[HARGA PER SATUAN DASAR],MATCH(tblDetailHPP[[#This Row],[KODE KOMPONEN]],tbl_BahanBaku[KODE KOMPONEN],0)),""))</f>
        <v>208.33333333333334</v>
      </c>
      <c r="J23" s="89">
        <f>IF(tblDetailHPP[[#This Row],[KODE KOMPONEN]]="","",IF(tblDetailHPP[[#This Row],[STATUS HARGA]]="OK",ROUND(tblDetailHPP[[#This Row],[QTY PAKAI]]*tblDetailHPP[[#This Row],[HARGA PER SATUAN DASAR]],2),""))</f>
        <v>208.33</v>
      </c>
      <c r="K23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23" s="34">
        <f>IF(tblDetailHPP[[#This Row],[KODE PRODUK]]="",0,IFERROR(INDEX('PENJUALAN (QTY)'!$AH$3:$AH$500,MATCH(tblDetailHPP[[#This Row],[KODE PRODUK]],'PENJUALAN (QTY)'!$A$3:$A$500,0)),0))</f>
        <v>11</v>
      </c>
      <c r="M2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2291.63</v>
      </c>
    </row>
    <row r="24" spans="1:13">
      <c r="A24" s="34" t="s">
        <v>180</v>
      </c>
      <c r="B24" s="34" t="str">
        <f>IFERROR(INDEX(tbl_Produk[NAMA PRODUK],MATCH(tblDetailHPP[[#This Row],[KODE PRODUK]],tbl_Produk[KODE PRODUK],0)),"")</f>
        <v>AYAM CRISPY ORIGINAL + NASI</v>
      </c>
      <c r="C24" s="34" t="s">
        <v>354</v>
      </c>
      <c r="D24" s="34" t="s">
        <v>165</v>
      </c>
      <c r="E24" s="34" t="str">
        <f>IF(tblDetailHPP[[#This Row],[KODE KOMPONEN]]="","",IFERROR(INDEX(tbl_BahanBaku[KATEGORI HPP],MATCH(tblDetailHPP[[#This Row],[KODE KOMPONEN]],tbl_BahanBaku[KODE KOMPONEN],0)),""))</f>
        <v>BUMBU &amp; PELENGKAP</v>
      </c>
      <c r="F24" s="34" t="str">
        <f>IF(tblDetailHPP[[#This Row],[KODE KOMPONEN]]="","",IFERROR(INDEX(tbl_BahanBaku[NAMA KOMPONEN],MATCH(tblDetailHPP[[#This Row],[KODE KOMPONEN]],tbl_BahanBaku[KODE KOMPONEN],0)),""))</f>
        <v>SAUS SACHET TOMAT</v>
      </c>
      <c r="G24" s="88">
        <v>1</v>
      </c>
      <c r="H24" s="34" t="s">
        <v>4</v>
      </c>
      <c r="I24" s="89">
        <f>IF(tblDetailHPP[[#This Row],[KODE KOMPONEN]]="","",IFERROR(INDEX(tbl_BahanBaku[HARGA PER SATUAN DASAR],MATCH(tblDetailHPP[[#This Row],[KODE KOMPONEN]],tbl_BahanBaku[KODE KOMPONEN],0)),""))</f>
        <v>208.33333333333334</v>
      </c>
      <c r="J24" s="89">
        <f>IF(tblDetailHPP[[#This Row],[KODE KOMPONEN]]="","",IF(tblDetailHPP[[#This Row],[STATUS HARGA]]="OK",ROUND(tblDetailHPP[[#This Row],[QTY PAKAI]]*tblDetailHPP[[#This Row],[HARGA PER SATUAN DASAR]],2),""))</f>
        <v>208.33</v>
      </c>
      <c r="K24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24" s="34">
        <f>IF(tblDetailHPP[[#This Row],[KODE PRODUK]]="",0,IFERROR(INDEX('PENJUALAN (QTY)'!$AH$3:$AH$500,MATCH(tblDetailHPP[[#This Row],[KODE PRODUK]],'PENJUALAN (QTY)'!$A$3:$A$500,0)),0))</f>
        <v>11</v>
      </c>
      <c r="M2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2291.63</v>
      </c>
    </row>
    <row r="25" spans="1:13">
      <c r="A25" s="34" t="s">
        <v>180</v>
      </c>
      <c r="B25" s="34" t="str">
        <f>IFERROR(INDEX(tbl_Produk[NAMA PRODUK],MATCH(tblDetailHPP[[#This Row],[KODE PRODUK]],tbl_Produk[KODE PRODUK],0)),"")</f>
        <v>AYAM CRISPY ORIGINAL + NASI</v>
      </c>
      <c r="C25" s="34" t="s">
        <v>354</v>
      </c>
      <c r="D25" s="34" t="s">
        <v>170</v>
      </c>
      <c r="E25" s="34" t="str">
        <f>IF(tblDetailHPP[[#This Row],[KODE KOMPONEN]]="","",IFERROR(INDEX(tbl_BahanBaku[KATEGORI HPP],MATCH(tblDetailHPP[[#This Row],[KODE KOMPONEN]],tbl_BahanBaku[KODE KOMPONEN],0)),""))</f>
        <v>OVERHEAD / OPERASIONAL</v>
      </c>
      <c r="F25" s="34" t="str">
        <f>IF(tblDetailHPP[[#This Row],[KODE KOMPONEN]]="","",IFERROR(INDEX(tbl_BahanBaku[NAMA KOMPONEN],MATCH(tblDetailHPP[[#This Row],[KODE KOMPONEN]],tbl_BahanBaku[KODE KOMPONEN],0)),""))</f>
        <v>STICKER BRANDING</v>
      </c>
      <c r="G25" s="88">
        <v>1</v>
      </c>
      <c r="H25" s="34" t="s">
        <v>4</v>
      </c>
      <c r="I25" s="89">
        <f>IF(tblDetailHPP[[#This Row],[KODE KOMPONEN]]="","",IFERROR(INDEX(tbl_BahanBaku[HARGA PER SATUAN DASAR],MATCH(tblDetailHPP[[#This Row],[KODE KOMPONEN]],tbl_BahanBaku[KODE KOMPONEN],0)),""))</f>
        <v>129.87012987012986</v>
      </c>
      <c r="J25" s="89">
        <f>IF(tblDetailHPP[[#This Row],[KODE KOMPONEN]]="","",IF(tblDetailHPP[[#This Row],[STATUS HARGA]]="OK",ROUND(tblDetailHPP[[#This Row],[QTY PAKAI]]*tblDetailHPP[[#This Row],[HARGA PER SATUAN DASAR]],2),""))</f>
        <v>129.87</v>
      </c>
      <c r="K25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25" s="34">
        <f>IF(tblDetailHPP[[#This Row],[KODE PRODUK]]="",0,IFERROR(INDEX('PENJUALAN (QTY)'!$AH$3:$AH$500,MATCH(tblDetailHPP[[#This Row],[KODE PRODUK]],'PENJUALAN (QTY)'!$A$3:$A$500,0)),0))</f>
        <v>11</v>
      </c>
      <c r="M2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1428.5700000000002</v>
      </c>
    </row>
    <row r="26" spans="1:13">
      <c r="A26" s="34" t="s">
        <v>180</v>
      </c>
      <c r="B26" s="34" t="str">
        <f>IFERROR(INDEX(tbl_Produk[NAMA PRODUK],MATCH(tblDetailHPP[[#This Row],[KODE PRODUK]],tbl_Produk[KODE PRODUK],0)),"")</f>
        <v>AYAM CRISPY ORIGINAL + NASI</v>
      </c>
      <c r="C26" s="34" t="s">
        <v>354</v>
      </c>
      <c r="D26" s="34" t="s">
        <v>174</v>
      </c>
      <c r="E26" s="34" t="str">
        <f>IF(tblDetailHPP[[#This Row],[KODE KOMPONEN]]="","",IFERROR(INDEX(tbl_BahanBaku[KATEGORI HPP],MATCH(tblDetailHPP[[#This Row],[KODE KOMPONEN]],tbl_BahanBaku[KODE KOMPONEN],0)),""))</f>
        <v>BUMBU &amp; PELENGKAP</v>
      </c>
      <c r="F26" s="34" t="str">
        <f>IF(tblDetailHPP[[#This Row],[KODE KOMPONEN]]="","",IFERROR(INDEX(tbl_BahanBaku[NAMA KOMPONEN],MATCH(tblDetailHPP[[#This Row],[KODE KOMPONEN]],tbl_BahanBaku[KODE KOMPONEN],0)),""))</f>
        <v>TEPUNG TERIGU</v>
      </c>
      <c r="G26" s="88">
        <v>125</v>
      </c>
      <c r="H26" s="34" t="s">
        <v>5</v>
      </c>
      <c r="I26" s="89">
        <f>IF(tblDetailHPP[[#This Row],[KODE KOMPONEN]]="","",IFERROR(INDEX(tbl_BahanBaku[HARGA PER SATUAN DASAR],MATCH(tblDetailHPP[[#This Row],[KODE KOMPONEN]],tbl_BahanBaku[KODE KOMPONEN],0)),""))</f>
        <v>8</v>
      </c>
      <c r="J26" s="89">
        <f>IF(tblDetailHPP[[#This Row],[KODE KOMPONEN]]="","",IF(tblDetailHPP[[#This Row],[STATUS HARGA]]="OK",ROUND(tblDetailHPP[[#This Row],[QTY PAKAI]]*tblDetailHPP[[#This Row],[HARGA PER SATUAN DASAR]],2),""))</f>
        <v>1000</v>
      </c>
      <c r="K26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26" s="34">
        <f>IF(tblDetailHPP[[#This Row],[KODE PRODUK]]="",0,IFERROR(INDEX('PENJUALAN (QTY)'!$AH$3:$AH$500,MATCH(tblDetailHPP[[#This Row],[KODE PRODUK]],'PENJUALAN (QTY)'!$A$3:$A$500,0)),0))</f>
        <v>11</v>
      </c>
      <c r="M2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11000</v>
      </c>
    </row>
    <row r="27" spans="1:13">
      <c r="A27" s="34" t="s">
        <v>181</v>
      </c>
      <c r="B27" s="34" t="str">
        <f>IFERROR(INDEX(tbl_Produk[NAMA PRODUK],MATCH(tblDetailHPP[[#This Row],[KODE PRODUK]],tbl_Produk[KODE PRODUK],0)),"")</f>
        <v>AYAM GEPREK S. BAWANG</v>
      </c>
      <c r="C27" s="34" t="s">
        <v>354</v>
      </c>
      <c r="D27" s="34" t="s">
        <v>114</v>
      </c>
      <c r="E27" s="34" t="str">
        <f>IF(tblDetailHPP[[#This Row],[KODE KOMPONEN]]="","",IFERROR(INDEX(tbl_BahanBaku[KATEGORI HPP],MATCH(tblDetailHPP[[#This Row],[KODE KOMPONEN]],tbl_BahanBaku[KODE KOMPONEN],0)),""))</f>
        <v>BAHAN UTAMA</v>
      </c>
      <c r="F27" s="34" t="str">
        <f>IF(tblDetailHPP[[#This Row],[KODE KOMPONEN]]="","",IFERROR(INDEX(tbl_BahanBaku[NAMA KOMPONEN],MATCH(tblDetailHPP[[#This Row],[KODE KOMPONEN]],tbl_BahanBaku[KODE KOMPONEN],0)),""))</f>
        <v>AYAM POTONG</v>
      </c>
      <c r="G27" s="88">
        <v>83.3</v>
      </c>
      <c r="H27" s="34" t="s">
        <v>5</v>
      </c>
      <c r="I27" s="89">
        <f>IF(tblDetailHPP[[#This Row],[KODE KOMPONEN]]="","",IFERROR(INDEX(tbl_BahanBaku[HARGA PER SATUAN DASAR],MATCH(tblDetailHPP[[#This Row],[KODE KOMPONEN]],tbl_BahanBaku[KODE KOMPONEN],0)),""))</f>
        <v>26.5</v>
      </c>
      <c r="J27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2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" s="34">
        <f>IF(tblDetailHPP[[#This Row],[KODE PRODUK]]="",0,IFERROR(INDEX('PENJUALAN (QTY)'!$AH$3:$AH$500,MATCH(tblDetailHPP[[#This Row],[KODE PRODUK]],'PENJUALAN (QTY)'!$A$3:$A$500,0)),0))</f>
        <v>14</v>
      </c>
      <c r="M2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30904.299999999996</v>
      </c>
    </row>
    <row r="28" spans="1:13">
      <c r="A28" s="34" t="s">
        <v>181</v>
      </c>
      <c r="B28" s="34" t="str">
        <f>IFERROR(INDEX(tbl_Produk[NAMA PRODUK],MATCH(tblDetailHPP[[#This Row],[KODE PRODUK]],tbl_Produk[KODE PRODUK],0)),"")</f>
        <v>AYAM GEPREK S. BAWANG</v>
      </c>
      <c r="C28" s="34" t="s">
        <v>354</v>
      </c>
      <c r="D28" s="34" t="s">
        <v>118</v>
      </c>
      <c r="E28" s="34" t="str">
        <f>IF(tblDetailHPP[[#This Row],[KODE KOMPONEN]]="","",IFERROR(INDEX(tbl_BahanBaku[KATEGORI HPP],MATCH(tblDetailHPP[[#This Row],[KODE KOMPONEN]],tbl_BahanBaku[KODE KOMPONEN],0)),""))</f>
        <v>BUMBU &amp; PELENGKAP</v>
      </c>
      <c r="F28" s="34" t="str">
        <f>IF(tblDetailHPP[[#This Row],[KODE KOMPONEN]]="","",IFERROR(INDEX(tbl_BahanBaku[NAMA KOMPONEN],MATCH(tblDetailHPP[[#This Row],[KODE KOMPONEN]],tbl_BahanBaku[KODE KOMPONEN],0)),""))</f>
        <v>BAWANG MERAH</v>
      </c>
      <c r="G28" s="88">
        <v>1.5</v>
      </c>
      <c r="H28" s="34" t="s">
        <v>5</v>
      </c>
      <c r="I28" s="89">
        <f>IF(tblDetailHPP[[#This Row],[KODE KOMPONEN]]="","",IFERROR(INDEX(tbl_BahanBaku[HARGA PER SATUAN DASAR],MATCH(tblDetailHPP[[#This Row],[KODE KOMPONEN]],tbl_BahanBaku[KODE KOMPONEN],0)),""))</f>
        <v>40</v>
      </c>
      <c r="J28" s="89">
        <f>IF(tblDetailHPP[[#This Row],[KODE KOMPONEN]]="","",IF(tblDetailHPP[[#This Row],[STATUS HARGA]]="OK",ROUND(tblDetailHPP[[#This Row],[QTY PAKAI]]*tblDetailHPP[[#This Row],[HARGA PER SATUAN DASAR]],2),""))</f>
        <v>60</v>
      </c>
      <c r="K2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" s="34">
        <f>IF(tblDetailHPP[[#This Row],[KODE PRODUK]]="",0,IFERROR(INDEX('PENJUALAN (QTY)'!$AH$3:$AH$500,MATCH(tblDetailHPP[[#This Row],[KODE PRODUK]],'PENJUALAN (QTY)'!$A$3:$A$500,0)),0))</f>
        <v>14</v>
      </c>
      <c r="M2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840</v>
      </c>
    </row>
    <row r="29" spans="1:13">
      <c r="A29" s="34" t="s">
        <v>181</v>
      </c>
      <c r="B29" s="34" t="str">
        <f>IFERROR(INDEX(tbl_Produk[NAMA PRODUK],MATCH(tblDetailHPP[[#This Row],[KODE PRODUK]],tbl_Produk[KODE PRODUK],0)),"")</f>
        <v>AYAM GEPREK S. BAWANG</v>
      </c>
      <c r="C29" s="34" t="s">
        <v>354</v>
      </c>
      <c r="D29" s="34" t="s">
        <v>119</v>
      </c>
      <c r="E29" s="34" t="str">
        <f>IF(tblDetailHPP[[#This Row],[KODE KOMPONEN]]="","",IFERROR(INDEX(tbl_BahanBaku[KATEGORI HPP],MATCH(tblDetailHPP[[#This Row],[KODE KOMPONEN]],tbl_BahanBaku[KODE KOMPONEN],0)),""))</f>
        <v>BUMBU &amp; PELENGKAP</v>
      </c>
      <c r="F29" s="34" t="str">
        <f>IF(tblDetailHPP[[#This Row],[KODE KOMPONEN]]="","",IFERROR(INDEX(tbl_BahanBaku[NAMA KOMPONEN],MATCH(tblDetailHPP[[#This Row],[KODE KOMPONEN]],tbl_BahanBaku[KODE KOMPONEN],0)),""))</f>
        <v>BAWANG PUTIH</v>
      </c>
      <c r="G29" s="88">
        <v>1.5</v>
      </c>
      <c r="H29" s="34" t="s">
        <v>5</v>
      </c>
      <c r="I29" s="89">
        <f>IF(tblDetailHPP[[#This Row],[KODE KOMPONEN]]="","",IFERROR(INDEX(tbl_BahanBaku[HARGA PER SATUAN DASAR],MATCH(tblDetailHPP[[#This Row],[KODE KOMPONEN]],tbl_BahanBaku[KODE KOMPONEN],0)),""))</f>
        <v>40</v>
      </c>
      <c r="J29" s="89">
        <f>IF(tblDetailHPP[[#This Row],[KODE KOMPONEN]]="","",IF(tblDetailHPP[[#This Row],[STATUS HARGA]]="OK",ROUND(tblDetailHPP[[#This Row],[QTY PAKAI]]*tblDetailHPP[[#This Row],[HARGA PER SATUAN DASAR]],2),""))</f>
        <v>60</v>
      </c>
      <c r="K2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" s="34">
        <f>IF(tblDetailHPP[[#This Row],[KODE PRODUK]]="",0,IFERROR(INDEX('PENJUALAN (QTY)'!$AH$3:$AH$500,MATCH(tblDetailHPP[[#This Row],[KODE PRODUK]],'PENJUALAN (QTY)'!$A$3:$A$500,0)),0))</f>
        <v>14</v>
      </c>
      <c r="M2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840</v>
      </c>
    </row>
    <row r="30" spans="1:13">
      <c r="A30" s="34" t="s">
        <v>181</v>
      </c>
      <c r="B30" s="34" t="str">
        <f>IFERROR(INDEX(tbl_Produk[NAMA PRODUK],MATCH(tblDetailHPP[[#This Row],[KODE PRODUK]],tbl_Produk[KODE PRODUK],0)),"")</f>
        <v>AYAM GEPREK S. BAWANG</v>
      </c>
      <c r="C30" s="34" t="s">
        <v>354</v>
      </c>
      <c r="D30" s="34" t="s">
        <v>121</v>
      </c>
      <c r="E30" s="34" t="str">
        <f>IF(tblDetailHPP[[#This Row],[KODE KOMPONEN]]="","",IFERROR(INDEX(tbl_BahanBaku[KATEGORI HPP],MATCH(tblDetailHPP[[#This Row],[KODE KOMPONEN]],tbl_BahanBaku[KODE KOMPONEN],0)),""))</f>
        <v>BUMBU &amp; PELENGKAP</v>
      </c>
      <c r="F30" s="34" t="str">
        <f>IF(tblDetailHPP[[#This Row],[KODE KOMPONEN]]="","",IFERROR(INDEX(tbl_BahanBaku[NAMA KOMPONEN],MATCH(tblDetailHPP[[#This Row],[KODE KOMPONEN]],tbl_BahanBaku[KODE KOMPONEN],0)),""))</f>
        <v>BUMBU MARINASI</v>
      </c>
      <c r="G30" s="88">
        <v>2.5</v>
      </c>
      <c r="H30" s="34" t="s">
        <v>5</v>
      </c>
      <c r="I30" s="89">
        <f>IF(tblDetailHPP[[#This Row],[KODE KOMPONEN]]="","",IFERROR(INDEX(tbl_BahanBaku[HARGA PER SATUAN DASAR],MATCH(tblDetailHPP[[#This Row],[KODE KOMPONEN]],tbl_BahanBaku[KODE KOMPONEN],0)),""))</f>
        <v>71.666666666666671</v>
      </c>
      <c r="J30" s="89">
        <f>IF(tblDetailHPP[[#This Row],[KODE KOMPONEN]]="","",IF(tblDetailHPP[[#This Row],[STATUS HARGA]]="OK",ROUND(tblDetailHPP[[#This Row],[QTY PAKAI]]*tblDetailHPP[[#This Row],[HARGA PER SATUAN DASAR]],2),""))</f>
        <v>179.17</v>
      </c>
      <c r="K3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" s="34">
        <f>IF(tblDetailHPP[[#This Row],[KODE PRODUK]]="",0,IFERROR(INDEX('PENJUALAN (QTY)'!$AH$3:$AH$500,MATCH(tblDetailHPP[[#This Row],[KODE PRODUK]],'PENJUALAN (QTY)'!$A$3:$A$500,0)),0))</f>
        <v>14</v>
      </c>
      <c r="M3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2508.3799999999997</v>
      </c>
    </row>
    <row r="31" spans="1:13">
      <c r="A31" s="34" t="s">
        <v>181</v>
      </c>
      <c r="B31" s="34" t="str">
        <f>IFERROR(INDEX(tbl_Produk[NAMA PRODUK],MATCH(tblDetailHPP[[#This Row],[KODE PRODUK]],tbl_Produk[KODE PRODUK],0)),"")</f>
        <v>AYAM GEPREK S. BAWANG</v>
      </c>
      <c r="C31" s="34" t="s">
        <v>354</v>
      </c>
      <c r="D31" s="34" t="s">
        <v>125</v>
      </c>
      <c r="E31" s="34" t="str">
        <f>IF(tblDetailHPP[[#This Row],[KODE KOMPONEN]]="","",IFERROR(INDEX(tbl_BahanBaku[KATEGORI HPP],MATCH(tblDetailHPP[[#This Row],[KODE KOMPONEN]],tbl_BahanBaku[KODE KOMPONEN],0)),""))</f>
        <v>BUMBU &amp; PELENGKAP</v>
      </c>
      <c r="F31" s="34" t="str">
        <f>IF(tblDetailHPP[[#This Row],[KODE KOMPONEN]]="","",IFERROR(INDEX(tbl_BahanBaku[NAMA KOMPONEN],MATCH(tblDetailHPP[[#This Row],[KODE KOMPONEN]],tbl_BahanBaku[KODE KOMPONEN],0)),""))</f>
        <v>CABAI MERAH BESAR</v>
      </c>
      <c r="G31" s="88">
        <v>15.4</v>
      </c>
      <c r="H31" s="34" t="s">
        <v>5</v>
      </c>
      <c r="I31" s="89">
        <f>IF(tblDetailHPP[[#This Row],[KODE KOMPONEN]]="","",IFERROR(INDEX(tbl_BahanBaku[HARGA PER SATUAN DASAR],MATCH(tblDetailHPP[[#This Row],[KODE KOMPONEN]],tbl_BahanBaku[KODE KOMPONEN],0)),""))</f>
        <v>40</v>
      </c>
      <c r="J31" s="89">
        <f>IF(tblDetailHPP[[#This Row],[KODE KOMPONEN]]="","",IF(tblDetailHPP[[#This Row],[STATUS HARGA]]="OK",ROUND(tblDetailHPP[[#This Row],[QTY PAKAI]]*tblDetailHPP[[#This Row],[HARGA PER SATUAN DASAR]],2),""))</f>
        <v>616</v>
      </c>
      <c r="K3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" s="34">
        <f>IF(tblDetailHPP[[#This Row],[KODE PRODUK]]="",0,IFERROR(INDEX('PENJUALAN (QTY)'!$AH$3:$AH$500,MATCH(tblDetailHPP[[#This Row],[KODE PRODUK]],'PENJUALAN (QTY)'!$A$3:$A$500,0)),0))</f>
        <v>14</v>
      </c>
      <c r="M3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8624</v>
      </c>
    </row>
    <row r="32" spans="1:13">
      <c r="A32" s="34" t="s">
        <v>181</v>
      </c>
      <c r="B32" s="34" t="str">
        <f>IFERROR(INDEX(tbl_Produk[NAMA PRODUK],MATCH(tblDetailHPP[[#This Row],[KODE PRODUK]],tbl_Produk[KODE PRODUK],0)),"")</f>
        <v>AYAM GEPREK S. BAWANG</v>
      </c>
      <c r="C32" s="34" t="s">
        <v>354</v>
      </c>
      <c r="D32" s="34" t="s">
        <v>126</v>
      </c>
      <c r="E32" s="34" t="str">
        <f>IF(tblDetailHPP[[#This Row],[KODE KOMPONEN]]="","",IFERROR(INDEX(tbl_BahanBaku[KATEGORI HPP],MATCH(tblDetailHPP[[#This Row],[KODE KOMPONEN]],tbl_BahanBaku[KODE KOMPONEN],0)),""))</f>
        <v>BUMBU &amp; PELENGKAP</v>
      </c>
      <c r="F32" s="34" t="str">
        <f>IF(tblDetailHPP[[#This Row],[KODE KOMPONEN]]="","",IFERROR(INDEX(tbl_BahanBaku[NAMA KOMPONEN],MATCH(tblDetailHPP[[#This Row],[KODE KOMPONEN]],tbl_BahanBaku[KODE KOMPONEN],0)),""))</f>
        <v>CABAI RAWIT</v>
      </c>
      <c r="G32" s="88">
        <v>15.4</v>
      </c>
      <c r="H32" s="34" t="s">
        <v>5</v>
      </c>
      <c r="I32" s="89">
        <f>IF(tblDetailHPP[[#This Row],[KODE KOMPONEN]]="","",IFERROR(INDEX(tbl_BahanBaku[HARGA PER SATUAN DASAR],MATCH(tblDetailHPP[[#This Row],[KODE KOMPONEN]],tbl_BahanBaku[KODE KOMPONEN],0)),""))</f>
        <v>60</v>
      </c>
      <c r="J32" s="89">
        <f>IF(tblDetailHPP[[#This Row],[KODE KOMPONEN]]="","",IF(tblDetailHPP[[#This Row],[STATUS HARGA]]="OK",ROUND(tblDetailHPP[[#This Row],[QTY PAKAI]]*tblDetailHPP[[#This Row],[HARGA PER SATUAN DASAR]],2),""))</f>
        <v>924</v>
      </c>
      <c r="K3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" s="34">
        <f>IF(tblDetailHPP[[#This Row],[KODE PRODUK]]="",0,IFERROR(INDEX('PENJUALAN (QTY)'!$AH$3:$AH$500,MATCH(tblDetailHPP[[#This Row],[KODE PRODUK]],'PENJUALAN (QTY)'!$A$3:$A$500,0)),0))</f>
        <v>14</v>
      </c>
      <c r="M3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12936</v>
      </c>
    </row>
    <row r="33" spans="1:13">
      <c r="A33" s="34" t="s">
        <v>181</v>
      </c>
      <c r="B33" s="34" t="str">
        <f>IFERROR(INDEX(tbl_Produk[NAMA PRODUK],MATCH(tblDetailHPP[[#This Row],[KODE PRODUK]],tbl_Produk[KODE PRODUK],0)),"")</f>
        <v>AYAM GEPREK S. BAWANG</v>
      </c>
      <c r="C33" s="34" t="s">
        <v>354</v>
      </c>
      <c r="D33" s="34" t="s">
        <v>129</v>
      </c>
      <c r="E33" s="34" t="str">
        <f>IF(tblDetailHPP[[#This Row],[KODE KOMPONEN]]="","",IFERROR(INDEX(tbl_BahanBaku[KATEGORI HPP],MATCH(tblDetailHPP[[#This Row],[KODE KOMPONEN]],tbl_BahanBaku[KODE KOMPONEN],0)),""))</f>
        <v>KEMASAN &amp; SUPPLIES</v>
      </c>
      <c r="F33" s="34" t="str">
        <f>IF(tblDetailHPP[[#This Row],[KODE KOMPONEN]]="","",IFERROR(INDEX(tbl_BahanBaku[NAMA KOMPONEN],MATCH(tblDetailHPP[[#This Row],[KODE KOMPONEN]],tbl_BahanBaku[KODE KOMPONEN],0)),""))</f>
        <v>CUP 35 ML</v>
      </c>
      <c r="G33" s="88">
        <v>1</v>
      </c>
      <c r="H33" s="34" t="s">
        <v>4</v>
      </c>
      <c r="I33" s="89">
        <f>IF(tblDetailHPP[[#This Row],[KODE KOMPONEN]]="","",IFERROR(INDEX(tbl_BahanBaku[HARGA PER SATUAN DASAR],MATCH(tblDetailHPP[[#This Row],[KODE KOMPONEN]],tbl_BahanBaku[KODE KOMPONEN],0)),""))</f>
        <v>220</v>
      </c>
      <c r="J33" s="89">
        <f>IF(tblDetailHPP[[#This Row],[KODE KOMPONEN]]="","",IF(tblDetailHPP[[#This Row],[STATUS HARGA]]="OK",ROUND(tblDetailHPP[[#This Row],[QTY PAKAI]]*tblDetailHPP[[#This Row],[HARGA PER SATUAN DASAR]],2),""))</f>
        <v>220</v>
      </c>
      <c r="K3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" s="34">
        <f>IF(tblDetailHPP[[#This Row],[KODE PRODUK]]="",0,IFERROR(INDEX('PENJUALAN (QTY)'!$AH$3:$AH$500,MATCH(tblDetailHPP[[#This Row],[KODE PRODUK]],'PENJUALAN (QTY)'!$A$3:$A$500,0)),0))</f>
        <v>14</v>
      </c>
      <c r="M3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3080</v>
      </c>
    </row>
    <row r="34" spans="1:13">
      <c r="A34" s="34" t="s">
        <v>181</v>
      </c>
      <c r="B34" s="34" t="str">
        <f>IFERROR(INDEX(tbl_Produk[NAMA PRODUK],MATCH(tblDetailHPP[[#This Row],[KODE PRODUK]],tbl_Produk[KODE PRODUK],0)),"")</f>
        <v>AYAM GEPREK S. BAWANG</v>
      </c>
      <c r="C34" s="34" t="s">
        <v>354</v>
      </c>
      <c r="D34" s="34" t="s">
        <v>142</v>
      </c>
      <c r="E34" s="34" t="str">
        <f>IF(tblDetailHPP[[#This Row],[KODE KOMPONEN]]="","",IFERROR(INDEX(tbl_BahanBaku[KATEGORI HPP],MATCH(tblDetailHPP[[#This Row],[KODE KOMPONEN]],tbl_BahanBaku[KODE KOMPONEN],0)),""))</f>
        <v>OVERHEAD / OPERASIONAL</v>
      </c>
      <c r="F34" s="34" t="str">
        <f>IF(tblDetailHPP[[#This Row],[KODE KOMPONEN]]="","",IFERROR(INDEX(tbl_BahanBaku[NAMA KOMPONEN],MATCH(tblDetailHPP[[#This Row],[KODE KOMPONEN]],tbl_BahanBaku[KODE KOMPONEN],0)),""))</f>
        <v>KERTAS PRINTER</v>
      </c>
      <c r="G34" s="88">
        <v>15</v>
      </c>
      <c r="H34" s="34" t="s">
        <v>222</v>
      </c>
      <c r="I34" s="89">
        <f>IF(tblDetailHPP[[#This Row],[KODE KOMPONEN]]="","",IFERROR(INDEX(tbl_BahanBaku[HARGA PER SATUAN DASAR],MATCH(tblDetailHPP[[#This Row],[KODE KOMPONEN]],tbl_BahanBaku[KODE KOMPONEN],0)),""))</f>
        <v>5</v>
      </c>
      <c r="J34" s="89">
        <f>IF(tblDetailHPP[[#This Row],[KODE KOMPONEN]]="","",IF(tblDetailHPP[[#This Row],[STATUS HARGA]]="OK",ROUND(tblDetailHPP[[#This Row],[QTY PAKAI]]*tblDetailHPP[[#This Row],[HARGA PER SATUAN DASAR]],2),""))</f>
        <v>75</v>
      </c>
      <c r="K3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" s="34">
        <f>IF(tblDetailHPP[[#This Row],[KODE PRODUK]]="",0,IFERROR(INDEX('PENJUALAN (QTY)'!$AH$3:$AH$500,MATCH(tblDetailHPP[[#This Row],[KODE PRODUK]],'PENJUALAN (QTY)'!$A$3:$A$500,0)),0))</f>
        <v>14</v>
      </c>
      <c r="M3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1050</v>
      </c>
    </row>
    <row r="35" spans="1:13">
      <c r="A35" s="34" t="s">
        <v>181</v>
      </c>
      <c r="B35" s="34" t="str">
        <f>IFERROR(INDEX(tbl_Produk[NAMA PRODUK],MATCH(tblDetailHPP[[#This Row],[KODE PRODUK]],tbl_Produk[KODE PRODUK],0)),"")</f>
        <v>AYAM GEPREK S. BAWANG</v>
      </c>
      <c r="C35" s="34" t="s">
        <v>354</v>
      </c>
      <c r="D35" s="34" t="s">
        <v>143</v>
      </c>
      <c r="E35" s="34" t="str">
        <f>IF(tblDetailHPP[[#This Row],[KODE KOMPONEN]]="","",IFERROR(INDEX(tbl_BahanBaku[KATEGORI HPP],MATCH(tblDetailHPP[[#This Row],[KODE KOMPONEN]],tbl_BahanBaku[KODE KOMPONEN],0)),""))</f>
        <v>OVERHEAD / OPERASIONAL</v>
      </c>
      <c r="F35" s="34" t="str">
        <f>IF(tblDetailHPP[[#This Row],[KODE KOMPONEN]]="","",IFERROR(INDEX(tbl_BahanBaku[NAMA KOMPONEN],MATCH(tblDetailHPP[[#This Row],[KODE KOMPONEN]],tbl_BahanBaku[KODE KOMPONEN],0)),""))</f>
        <v>LPG 3KG</v>
      </c>
      <c r="G35" s="88">
        <v>13</v>
      </c>
      <c r="H35" s="34" t="s">
        <v>5</v>
      </c>
      <c r="I35" s="89">
        <f>IF(tblDetailHPP[[#This Row],[KODE KOMPONEN]]="","",IFERROR(INDEX(tbl_BahanBaku[HARGA PER SATUAN DASAR],MATCH(tblDetailHPP[[#This Row],[KODE KOMPONEN]],tbl_BahanBaku[KODE KOMPONEN],0)),""))</f>
        <v>7.666666666666667</v>
      </c>
      <c r="J35" s="89">
        <f>IF(tblDetailHPP[[#This Row],[KODE KOMPONEN]]="","",IF(tblDetailHPP[[#This Row],[STATUS HARGA]]="OK",ROUND(tblDetailHPP[[#This Row],[QTY PAKAI]]*tblDetailHPP[[#This Row],[HARGA PER SATUAN DASAR]],2),""))</f>
        <v>99.67</v>
      </c>
      <c r="K3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" s="34">
        <f>IF(tblDetailHPP[[#This Row],[KODE PRODUK]]="",0,IFERROR(INDEX('PENJUALAN (QTY)'!$AH$3:$AH$500,MATCH(tblDetailHPP[[#This Row],[KODE PRODUK]],'PENJUALAN (QTY)'!$A$3:$A$500,0)),0))</f>
        <v>14</v>
      </c>
      <c r="M3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1395.38</v>
      </c>
    </row>
    <row r="36" spans="1:13">
      <c r="A36" s="34" t="s">
        <v>181</v>
      </c>
      <c r="B36" s="34" t="str">
        <f>IFERROR(INDEX(tbl_Produk[NAMA PRODUK],MATCH(tblDetailHPP[[#This Row],[KODE PRODUK]],tbl_Produk[KODE PRODUK],0)),"")</f>
        <v>AYAM GEPREK S. BAWANG</v>
      </c>
      <c r="C36" s="34" t="s">
        <v>354</v>
      </c>
      <c r="D36" s="34" t="s">
        <v>146</v>
      </c>
      <c r="E36" s="34" t="str">
        <f>IF(tblDetailHPP[[#This Row],[KODE KOMPONEN]]="","",IFERROR(INDEX(tbl_BahanBaku[KATEGORI HPP],MATCH(tblDetailHPP[[#This Row],[KODE KOMPONEN]],tbl_BahanBaku[KODE KOMPONEN],0)),""))</f>
        <v>KEMASAN &amp; SUPPLIES</v>
      </c>
      <c r="F36" s="34" t="str">
        <f>IF(tblDetailHPP[[#This Row],[KODE KOMPONEN]]="","",IFERROR(INDEX(tbl_BahanBaku[NAMA KOMPONEN],MATCH(tblDetailHPP[[#This Row],[KODE KOMPONEN]],tbl_BahanBaku[KODE KOMPONEN],0)),""))</f>
        <v>LUNCHBOX S</v>
      </c>
      <c r="G36" s="88">
        <v>1</v>
      </c>
      <c r="H36" s="34" t="s">
        <v>4</v>
      </c>
      <c r="I36" s="89">
        <f>IF(tblDetailHPP[[#This Row],[KODE KOMPONEN]]="","",IFERROR(INDEX(tbl_BahanBaku[HARGA PER SATUAN DASAR],MATCH(tblDetailHPP[[#This Row],[KODE KOMPONEN]],tbl_BahanBaku[KODE KOMPONEN],0)),""))</f>
        <v>450</v>
      </c>
      <c r="J36" s="89">
        <f>IF(tblDetailHPP[[#This Row],[KODE KOMPONEN]]="","",IF(tblDetailHPP[[#This Row],[STATUS HARGA]]="OK",ROUND(tblDetailHPP[[#This Row],[QTY PAKAI]]*tblDetailHPP[[#This Row],[HARGA PER SATUAN DASAR]],2),""))</f>
        <v>450</v>
      </c>
      <c r="K3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6" s="34">
        <f>IF(tblDetailHPP[[#This Row],[KODE PRODUK]]="",0,IFERROR(INDEX('PENJUALAN (QTY)'!$AH$3:$AH$500,MATCH(tblDetailHPP[[#This Row],[KODE PRODUK]],'PENJUALAN (QTY)'!$A$3:$A$500,0)),0))</f>
        <v>14</v>
      </c>
      <c r="M3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6300</v>
      </c>
    </row>
    <row r="37" spans="1:13">
      <c r="A37" s="34" t="s">
        <v>181</v>
      </c>
      <c r="B37" s="34" t="str">
        <f>IFERROR(INDEX(tbl_Produk[NAMA PRODUK],MATCH(tblDetailHPP[[#This Row],[KODE PRODUK]],tbl_Produk[KODE PRODUK],0)),"")</f>
        <v>AYAM GEPREK S. BAWANG</v>
      </c>
      <c r="C37" s="34" t="s">
        <v>354</v>
      </c>
      <c r="D37" s="34" t="s">
        <v>150</v>
      </c>
      <c r="E37" s="34" t="str">
        <f>IF(tblDetailHPP[[#This Row],[KODE KOMPONEN]]="","",IFERROR(INDEX(tbl_BahanBaku[KATEGORI HPP],MATCH(tblDetailHPP[[#This Row],[KODE KOMPONEN]],tbl_BahanBaku[KODE KOMPONEN],0)),""))</f>
        <v>BUMBU &amp; PELENGKAP</v>
      </c>
      <c r="F37" s="34" t="str">
        <f>IF(tblDetailHPP[[#This Row],[KODE KOMPONEN]]="","",IFERROR(INDEX(tbl_BahanBaku[NAMA KOMPONEN],MATCH(tblDetailHPP[[#This Row],[KODE KOMPONEN]],tbl_BahanBaku[KODE KOMPONEN],0)),""))</f>
        <v>MINYAK</v>
      </c>
      <c r="G37" s="88">
        <v>60</v>
      </c>
      <c r="H37" s="34" t="s">
        <v>6</v>
      </c>
      <c r="I37" s="89">
        <f>IF(tblDetailHPP[[#This Row],[KODE KOMPONEN]]="","",IFERROR(INDEX(tbl_BahanBaku[HARGA PER SATUAN DASAR],MATCH(tblDetailHPP[[#This Row],[KODE KOMPONEN]],tbl_BahanBaku[KODE KOMPONEN],0)),""))</f>
        <v>23</v>
      </c>
      <c r="J37" s="89">
        <f>IF(tblDetailHPP[[#This Row],[KODE KOMPONEN]]="","",IF(tblDetailHPP[[#This Row],[STATUS HARGA]]="OK",ROUND(tblDetailHPP[[#This Row],[QTY PAKAI]]*tblDetailHPP[[#This Row],[HARGA PER SATUAN DASAR]],2),""))</f>
        <v>1380</v>
      </c>
      <c r="K3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7" s="34">
        <f>IF(tblDetailHPP[[#This Row],[KODE PRODUK]]="",0,IFERROR(INDEX('PENJUALAN (QTY)'!$AH$3:$AH$500,MATCH(tblDetailHPP[[#This Row],[KODE PRODUK]],'PENJUALAN (QTY)'!$A$3:$A$500,0)),0))</f>
        <v>14</v>
      </c>
      <c r="M3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19320</v>
      </c>
    </row>
    <row r="38" spans="1:13">
      <c r="A38" s="34" t="s">
        <v>181</v>
      </c>
      <c r="B38" s="34" t="str">
        <f>IFERROR(INDEX(tbl_Produk[NAMA PRODUK],MATCH(tblDetailHPP[[#This Row],[KODE PRODUK]],tbl_Produk[KODE PRODUK],0)),"")</f>
        <v>AYAM GEPREK S. BAWANG</v>
      </c>
      <c r="C38" s="34" t="s">
        <v>354</v>
      </c>
      <c r="D38" s="34" t="s">
        <v>158</v>
      </c>
      <c r="E38" s="34" t="str">
        <f>IF(tblDetailHPP[[#This Row],[KODE KOMPONEN]]="","",IFERROR(INDEX(tbl_BahanBaku[KATEGORI HPP],MATCH(tblDetailHPP[[#This Row],[KODE KOMPONEN]],tbl_BahanBaku[KODE KOMPONEN],0)),""))</f>
        <v>KEMASAN &amp; SUPPLIES</v>
      </c>
      <c r="F38" s="34" t="str">
        <f>IF(tblDetailHPP[[#This Row],[KODE KOMPONEN]]="","",IFERROR(INDEX(tbl_BahanBaku[NAMA KOMPONEN],MATCH(tblDetailHPP[[#This Row],[KODE KOMPONEN]],tbl_BahanBaku[KODE KOMPONEN],0)),""))</f>
        <v>PLASTIK UK. 15</v>
      </c>
      <c r="G38" s="88">
        <v>1</v>
      </c>
      <c r="H38" s="34" t="s">
        <v>4</v>
      </c>
      <c r="I38" s="89">
        <f>IF(tblDetailHPP[[#This Row],[KODE KOMPONEN]]="","",IFERROR(INDEX(tbl_BahanBaku[HARGA PER SATUAN DASAR],MATCH(tblDetailHPP[[#This Row],[KODE KOMPONEN]],tbl_BahanBaku[KODE KOMPONEN],0)),""))</f>
        <v>280</v>
      </c>
      <c r="J38" s="89">
        <f>IF(tblDetailHPP[[#This Row],[KODE KOMPONEN]]="","",IF(tblDetailHPP[[#This Row],[STATUS HARGA]]="OK",ROUND(tblDetailHPP[[#This Row],[QTY PAKAI]]*tblDetailHPP[[#This Row],[HARGA PER SATUAN DASAR]],2),""))</f>
        <v>280</v>
      </c>
      <c r="K3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8" s="34">
        <f>IF(tblDetailHPP[[#This Row],[KODE PRODUK]]="",0,IFERROR(INDEX('PENJUALAN (QTY)'!$AH$3:$AH$500,MATCH(tblDetailHPP[[#This Row],[KODE PRODUK]],'PENJUALAN (QTY)'!$A$3:$A$500,0)),0))</f>
        <v>14</v>
      </c>
      <c r="M3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3920</v>
      </c>
    </row>
    <row r="39" spans="1:13">
      <c r="A39" s="34" t="s">
        <v>181</v>
      </c>
      <c r="B39" s="34" t="str">
        <f>IFERROR(INDEX(tbl_Produk[NAMA PRODUK],MATCH(tblDetailHPP[[#This Row],[KODE PRODUK]],tbl_Produk[KODE PRODUK],0)),"")</f>
        <v>AYAM GEPREK S. BAWANG</v>
      </c>
      <c r="C39" s="34" t="s">
        <v>354</v>
      </c>
      <c r="D39" s="34" t="s">
        <v>170</v>
      </c>
      <c r="E39" s="34" t="str">
        <f>IF(tblDetailHPP[[#This Row],[KODE KOMPONEN]]="","",IFERROR(INDEX(tbl_BahanBaku[KATEGORI HPP],MATCH(tblDetailHPP[[#This Row],[KODE KOMPONEN]],tbl_BahanBaku[KODE KOMPONEN],0)),""))</f>
        <v>OVERHEAD / OPERASIONAL</v>
      </c>
      <c r="F39" s="34" t="str">
        <f>IF(tblDetailHPP[[#This Row],[KODE KOMPONEN]]="","",IFERROR(INDEX(tbl_BahanBaku[NAMA KOMPONEN],MATCH(tblDetailHPP[[#This Row],[KODE KOMPONEN]],tbl_BahanBaku[KODE KOMPONEN],0)),""))</f>
        <v>STICKER BRANDING</v>
      </c>
      <c r="G39" s="88">
        <v>1</v>
      </c>
      <c r="H39" s="34" t="s">
        <v>4</v>
      </c>
      <c r="I39" s="89">
        <f>IF(tblDetailHPP[[#This Row],[KODE KOMPONEN]]="","",IFERROR(INDEX(tbl_BahanBaku[HARGA PER SATUAN DASAR],MATCH(tblDetailHPP[[#This Row],[KODE KOMPONEN]],tbl_BahanBaku[KODE KOMPONEN],0)),""))</f>
        <v>129.87012987012986</v>
      </c>
      <c r="J39" s="89">
        <f>IF(tblDetailHPP[[#This Row],[KODE KOMPONEN]]="","",IF(tblDetailHPP[[#This Row],[STATUS HARGA]]="OK",ROUND(tblDetailHPP[[#This Row],[QTY PAKAI]]*tblDetailHPP[[#This Row],[HARGA PER SATUAN DASAR]],2),""))</f>
        <v>129.87</v>
      </c>
      <c r="K3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9" s="34">
        <f>IF(tblDetailHPP[[#This Row],[KODE PRODUK]]="",0,IFERROR(INDEX('PENJUALAN (QTY)'!$AH$3:$AH$500,MATCH(tblDetailHPP[[#This Row],[KODE PRODUK]],'PENJUALAN (QTY)'!$A$3:$A$500,0)),0))</f>
        <v>14</v>
      </c>
      <c r="M3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1818.18</v>
      </c>
    </row>
    <row r="40" spans="1:13">
      <c r="A40" s="34" t="s">
        <v>181</v>
      </c>
      <c r="B40" s="34" t="str">
        <f>IFERROR(INDEX(tbl_Produk[NAMA PRODUK],MATCH(tblDetailHPP[[#This Row],[KODE PRODUK]],tbl_Produk[KODE PRODUK],0)),"")</f>
        <v>AYAM GEPREK S. BAWANG</v>
      </c>
      <c r="C40" s="34" t="s">
        <v>354</v>
      </c>
      <c r="D40" s="34" t="s">
        <v>174</v>
      </c>
      <c r="E40" s="34" t="str">
        <f>IF(tblDetailHPP[[#This Row],[KODE KOMPONEN]]="","",IFERROR(INDEX(tbl_BahanBaku[KATEGORI HPP],MATCH(tblDetailHPP[[#This Row],[KODE KOMPONEN]],tbl_BahanBaku[KODE KOMPONEN],0)),""))</f>
        <v>BUMBU &amp; PELENGKAP</v>
      </c>
      <c r="F40" s="34" t="str">
        <f>IF(tblDetailHPP[[#This Row],[KODE KOMPONEN]]="","",IFERROR(INDEX(tbl_BahanBaku[NAMA KOMPONEN],MATCH(tblDetailHPP[[#This Row],[KODE KOMPONEN]],tbl_BahanBaku[KODE KOMPONEN],0)),""))</f>
        <v>TEPUNG TERIGU</v>
      </c>
      <c r="G40" s="88">
        <v>125</v>
      </c>
      <c r="H40" s="34" t="s">
        <v>5</v>
      </c>
      <c r="I40" s="89">
        <f>IF(tblDetailHPP[[#This Row],[KODE KOMPONEN]]="","",IFERROR(INDEX(tbl_BahanBaku[HARGA PER SATUAN DASAR],MATCH(tblDetailHPP[[#This Row],[KODE KOMPONEN]],tbl_BahanBaku[KODE KOMPONEN],0)),""))</f>
        <v>8</v>
      </c>
      <c r="J40" s="89">
        <f>IF(tblDetailHPP[[#This Row],[KODE KOMPONEN]]="","",IF(tblDetailHPP[[#This Row],[STATUS HARGA]]="OK",ROUND(tblDetailHPP[[#This Row],[QTY PAKAI]]*tblDetailHPP[[#This Row],[HARGA PER SATUAN DASAR]],2),""))</f>
        <v>1000</v>
      </c>
      <c r="K4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40" s="34">
        <f>IF(tblDetailHPP[[#This Row],[KODE PRODUK]]="",0,IFERROR(INDEX('PENJUALAN (QTY)'!$AH$3:$AH$500,MATCH(tblDetailHPP[[#This Row],[KODE PRODUK]],'PENJUALAN (QTY)'!$A$3:$A$500,0)),0))</f>
        <v>14</v>
      </c>
      <c r="M4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14000</v>
      </c>
    </row>
    <row r="41" spans="1:13">
      <c r="A41" s="34" t="s">
        <v>181</v>
      </c>
      <c r="B41" s="34" t="str">
        <f>IFERROR(INDEX(tbl_Produk[NAMA PRODUK],MATCH(tblDetailHPP[[#This Row],[KODE PRODUK]],tbl_Produk[KODE PRODUK],0)),"")</f>
        <v>AYAM GEPREK S. BAWANG</v>
      </c>
      <c r="C41" s="34" t="s">
        <v>354</v>
      </c>
      <c r="D41" s="34" t="s">
        <v>175</v>
      </c>
      <c r="E41" s="34" t="str">
        <f>IF(tblDetailHPP[[#This Row],[KODE KOMPONEN]]="","",IFERROR(INDEX(tbl_BahanBaku[KATEGORI HPP],MATCH(tblDetailHPP[[#This Row],[KODE KOMPONEN]],tbl_BahanBaku[KODE KOMPONEN],0)),""))</f>
        <v>BUMBU &amp; PELENGKAP</v>
      </c>
      <c r="F41" s="34" t="str">
        <f>IF(tblDetailHPP[[#This Row],[KODE KOMPONEN]]="","",IFERROR(INDEX(tbl_BahanBaku[NAMA KOMPONEN],MATCH(tblDetailHPP[[#This Row],[KODE KOMPONEN]],tbl_BahanBaku[KODE KOMPONEN],0)),""))</f>
        <v>TIMUN</v>
      </c>
      <c r="G41" s="88">
        <v>20</v>
      </c>
      <c r="H41" s="34" t="s">
        <v>5</v>
      </c>
      <c r="I41" s="89">
        <f>IF(tblDetailHPP[[#This Row],[KODE KOMPONEN]]="","",IFERROR(INDEX(tbl_BahanBaku[HARGA PER SATUAN DASAR],MATCH(tblDetailHPP[[#This Row],[KODE KOMPONEN]],tbl_BahanBaku[KODE KOMPONEN],0)),""))</f>
        <v>15</v>
      </c>
      <c r="J41" s="89">
        <f>IF(tblDetailHPP[[#This Row],[KODE KOMPONEN]]="","",IF(tblDetailHPP[[#This Row],[STATUS HARGA]]="OK",ROUND(tblDetailHPP[[#This Row],[QTY PAKAI]]*tblDetailHPP[[#This Row],[HARGA PER SATUAN DASAR]],2),""))</f>
        <v>300</v>
      </c>
      <c r="K4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41" s="34">
        <f>IF(tblDetailHPP[[#This Row],[KODE PRODUK]]="",0,IFERROR(INDEX('PENJUALAN (QTY)'!$AH$3:$AH$500,MATCH(tblDetailHPP[[#This Row],[KODE PRODUK]],'PENJUALAN (QTY)'!$A$3:$A$500,0)),0))</f>
        <v>14</v>
      </c>
      <c r="M4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4200</v>
      </c>
    </row>
    <row r="42" spans="1:13">
      <c r="A42" s="34" t="s">
        <v>182</v>
      </c>
      <c r="B42" s="34" t="str">
        <f>IFERROR(INDEX(tbl_Produk[NAMA PRODUK],MATCH(tblDetailHPP[[#This Row],[KODE PRODUK]],tbl_Produk[KODE PRODUK],0)),"")</f>
        <v>AYAM GEPREK S. BAWANG + NASI</v>
      </c>
      <c r="C42" s="34" t="s">
        <v>354</v>
      </c>
      <c r="D42" s="34" t="s">
        <v>114</v>
      </c>
      <c r="E42" s="34" t="str">
        <f>IF(tblDetailHPP[[#This Row],[KODE KOMPONEN]]="","",IFERROR(INDEX(tbl_BahanBaku[KATEGORI HPP],MATCH(tblDetailHPP[[#This Row],[KODE KOMPONEN]],tbl_BahanBaku[KODE KOMPONEN],0)),""))</f>
        <v>BAHAN UTAMA</v>
      </c>
      <c r="F42" s="34" t="str">
        <f>IF(tblDetailHPP[[#This Row],[KODE KOMPONEN]]="","",IFERROR(INDEX(tbl_BahanBaku[NAMA KOMPONEN],MATCH(tblDetailHPP[[#This Row],[KODE KOMPONEN]],tbl_BahanBaku[KODE KOMPONEN],0)),""))</f>
        <v>AYAM POTONG</v>
      </c>
      <c r="G42" s="88">
        <v>83.3</v>
      </c>
      <c r="H42" s="34" t="s">
        <v>5</v>
      </c>
      <c r="I42" s="89">
        <f>IF(tblDetailHPP[[#This Row],[KODE KOMPONEN]]="","",IFERROR(INDEX(tbl_BahanBaku[HARGA PER SATUAN DASAR],MATCH(tblDetailHPP[[#This Row],[KODE KOMPONEN]],tbl_BahanBaku[KODE KOMPONEN],0)),""))</f>
        <v>26.5</v>
      </c>
      <c r="J42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4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42" s="34">
        <f>IF(tblDetailHPP[[#This Row],[KODE PRODUK]]="",0,IFERROR(INDEX('PENJUALAN (QTY)'!$AH$3:$AH$500,MATCH(tblDetailHPP[[#This Row],[KODE PRODUK]],'PENJUALAN (QTY)'!$A$3:$A$500,0)),0))</f>
        <v>26</v>
      </c>
      <c r="M4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57393.7</v>
      </c>
    </row>
    <row r="43" spans="1:13">
      <c r="A43" s="34" t="s">
        <v>182</v>
      </c>
      <c r="B43" s="34" t="str">
        <f>IFERROR(INDEX(tbl_Produk[NAMA PRODUK],MATCH(tblDetailHPP[[#This Row],[KODE PRODUK]],tbl_Produk[KODE PRODUK],0)),"")</f>
        <v>AYAM GEPREK S. BAWANG + NASI</v>
      </c>
      <c r="C43" s="34" t="s">
        <v>354</v>
      </c>
      <c r="D43" s="34" t="s">
        <v>118</v>
      </c>
      <c r="E43" s="34" t="str">
        <f>IF(tblDetailHPP[[#This Row],[KODE KOMPONEN]]="","",IFERROR(INDEX(tbl_BahanBaku[KATEGORI HPP],MATCH(tblDetailHPP[[#This Row],[KODE KOMPONEN]],tbl_BahanBaku[KODE KOMPONEN],0)),""))</f>
        <v>BUMBU &amp; PELENGKAP</v>
      </c>
      <c r="F43" s="34" t="str">
        <f>IF(tblDetailHPP[[#This Row],[KODE KOMPONEN]]="","",IFERROR(INDEX(tbl_BahanBaku[NAMA KOMPONEN],MATCH(tblDetailHPP[[#This Row],[KODE KOMPONEN]],tbl_BahanBaku[KODE KOMPONEN],0)),""))</f>
        <v>BAWANG MERAH</v>
      </c>
      <c r="G43" s="88">
        <v>1.5</v>
      </c>
      <c r="H43" s="34" t="s">
        <v>5</v>
      </c>
      <c r="I43" s="89">
        <f>IF(tblDetailHPP[[#This Row],[KODE KOMPONEN]]="","",IFERROR(INDEX(tbl_BahanBaku[HARGA PER SATUAN DASAR],MATCH(tblDetailHPP[[#This Row],[KODE KOMPONEN]],tbl_BahanBaku[KODE KOMPONEN],0)),""))</f>
        <v>40</v>
      </c>
      <c r="J43" s="89">
        <f>IF(tblDetailHPP[[#This Row],[KODE KOMPONEN]]="","",IF(tblDetailHPP[[#This Row],[STATUS HARGA]]="OK",ROUND(tblDetailHPP[[#This Row],[QTY PAKAI]]*tblDetailHPP[[#This Row],[HARGA PER SATUAN DASAR]],2),""))</f>
        <v>60</v>
      </c>
      <c r="K4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43" s="34">
        <f>IF(tblDetailHPP[[#This Row],[KODE PRODUK]]="",0,IFERROR(INDEX('PENJUALAN (QTY)'!$AH$3:$AH$500,MATCH(tblDetailHPP[[#This Row],[KODE PRODUK]],'PENJUALAN (QTY)'!$A$3:$A$500,0)),0))</f>
        <v>26</v>
      </c>
      <c r="M4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1560</v>
      </c>
    </row>
    <row r="44" spans="1:13">
      <c r="A44" s="34" t="s">
        <v>182</v>
      </c>
      <c r="B44" s="34" t="str">
        <f>IFERROR(INDEX(tbl_Produk[NAMA PRODUK],MATCH(tblDetailHPP[[#This Row],[KODE PRODUK]],tbl_Produk[KODE PRODUK],0)),"")</f>
        <v>AYAM GEPREK S. BAWANG + NASI</v>
      </c>
      <c r="C44" s="34" t="s">
        <v>354</v>
      </c>
      <c r="D44" s="34" t="s">
        <v>119</v>
      </c>
      <c r="E44" s="34" t="str">
        <f>IF(tblDetailHPP[[#This Row],[KODE KOMPONEN]]="","",IFERROR(INDEX(tbl_BahanBaku[KATEGORI HPP],MATCH(tblDetailHPP[[#This Row],[KODE KOMPONEN]],tbl_BahanBaku[KODE KOMPONEN],0)),""))</f>
        <v>BUMBU &amp; PELENGKAP</v>
      </c>
      <c r="F44" s="34" t="str">
        <f>IF(tblDetailHPP[[#This Row],[KODE KOMPONEN]]="","",IFERROR(INDEX(tbl_BahanBaku[NAMA KOMPONEN],MATCH(tblDetailHPP[[#This Row],[KODE KOMPONEN]],tbl_BahanBaku[KODE KOMPONEN],0)),""))</f>
        <v>BAWANG PUTIH</v>
      </c>
      <c r="G44" s="88">
        <v>1.5</v>
      </c>
      <c r="H44" s="34" t="s">
        <v>5</v>
      </c>
      <c r="I44" s="89">
        <f>IF(tblDetailHPP[[#This Row],[KODE KOMPONEN]]="","",IFERROR(INDEX(tbl_BahanBaku[HARGA PER SATUAN DASAR],MATCH(tblDetailHPP[[#This Row],[KODE KOMPONEN]],tbl_BahanBaku[KODE KOMPONEN],0)),""))</f>
        <v>40</v>
      </c>
      <c r="J44" s="89">
        <f>IF(tblDetailHPP[[#This Row],[KODE KOMPONEN]]="","",IF(tblDetailHPP[[#This Row],[STATUS HARGA]]="OK",ROUND(tblDetailHPP[[#This Row],[QTY PAKAI]]*tblDetailHPP[[#This Row],[HARGA PER SATUAN DASAR]],2),""))</f>
        <v>60</v>
      </c>
      <c r="K4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44" s="34">
        <f>IF(tblDetailHPP[[#This Row],[KODE PRODUK]]="",0,IFERROR(INDEX('PENJUALAN (QTY)'!$AH$3:$AH$500,MATCH(tblDetailHPP[[#This Row],[KODE PRODUK]],'PENJUALAN (QTY)'!$A$3:$A$500,0)),0))</f>
        <v>26</v>
      </c>
      <c r="M4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1560</v>
      </c>
    </row>
    <row r="45" spans="1:13">
      <c r="A45" s="34" t="s">
        <v>182</v>
      </c>
      <c r="B45" s="34" t="str">
        <f>IFERROR(INDEX(tbl_Produk[NAMA PRODUK],MATCH(tblDetailHPP[[#This Row],[KODE PRODUK]],tbl_Produk[KODE PRODUK],0)),"")</f>
        <v>AYAM GEPREK S. BAWANG + NASI</v>
      </c>
      <c r="C45" s="34" t="s">
        <v>354</v>
      </c>
      <c r="D45" s="34" t="s">
        <v>120</v>
      </c>
      <c r="E45" s="34" t="str">
        <f>IF(tblDetailHPP[[#This Row],[KODE KOMPONEN]]="","",IFERROR(INDEX(tbl_BahanBaku[KATEGORI HPP],MATCH(tblDetailHPP[[#This Row],[KODE KOMPONEN]],tbl_BahanBaku[KODE KOMPONEN],0)),""))</f>
        <v>BAHAN UTAMA</v>
      </c>
      <c r="F45" s="34" t="str">
        <f>IF(tblDetailHPP[[#This Row],[KODE KOMPONEN]]="","",IFERROR(INDEX(tbl_BahanBaku[NAMA KOMPONEN],MATCH(tblDetailHPP[[#This Row],[KODE KOMPONEN]],tbl_BahanBaku[KODE KOMPONEN],0)),""))</f>
        <v>BERAS</v>
      </c>
      <c r="G45" s="88">
        <v>76.900000000000006</v>
      </c>
      <c r="H45" s="34" t="s">
        <v>5</v>
      </c>
      <c r="I45" s="89">
        <f>IF(tblDetailHPP[[#This Row],[KODE KOMPONEN]]="","",IFERROR(INDEX(tbl_BahanBaku[HARGA PER SATUAN DASAR],MATCH(tblDetailHPP[[#This Row],[KODE KOMPONEN]],tbl_BahanBaku[KODE KOMPONEN],0)),""))</f>
        <v>14</v>
      </c>
      <c r="J45" s="89">
        <f>IF(tblDetailHPP[[#This Row],[KODE KOMPONEN]]="","",IF(tblDetailHPP[[#This Row],[STATUS HARGA]]="OK",ROUND(tblDetailHPP[[#This Row],[QTY PAKAI]]*tblDetailHPP[[#This Row],[HARGA PER SATUAN DASAR]],2),""))</f>
        <v>1076.5999999999999</v>
      </c>
      <c r="K4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45" s="34">
        <f>IF(tblDetailHPP[[#This Row],[KODE PRODUK]]="",0,IFERROR(INDEX('PENJUALAN (QTY)'!$AH$3:$AH$500,MATCH(tblDetailHPP[[#This Row],[KODE PRODUK]],'PENJUALAN (QTY)'!$A$3:$A$500,0)),0))</f>
        <v>26</v>
      </c>
      <c r="M4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27991.599999999999</v>
      </c>
    </row>
    <row r="46" spans="1:13">
      <c r="A46" s="34" t="s">
        <v>182</v>
      </c>
      <c r="B46" s="34" t="str">
        <f>IFERROR(INDEX(tbl_Produk[NAMA PRODUK],MATCH(tblDetailHPP[[#This Row],[KODE PRODUK]],tbl_Produk[KODE PRODUK],0)),"")</f>
        <v>AYAM GEPREK S. BAWANG + NASI</v>
      </c>
      <c r="C46" s="34" t="s">
        <v>354</v>
      </c>
      <c r="D46" s="34" t="s">
        <v>121</v>
      </c>
      <c r="E46" s="34" t="str">
        <f>IF(tblDetailHPP[[#This Row],[KODE KOMPONEN]]="","",IFERROR(INDEX(tbl_BahanBaku[KATEGORI HPP],MATCH(tblDetailHPP[[#This Row],[KODE KOMPONEN]],tbl_BahanBaku[KODE KOMPONEN],0)),""))</f>
        <v>BUMBU &amp; PELENGKAP</v>
      </c>
      <c r="F46" s="34" t="str">
        <f>IF(tblDetailHPP[[#This Row],[KODE KOMPONEN]]="","",IFERROR(INDEX(tbl_BahanBaku[NAMA KOMPONEN],MATCH(tblDetailHPP[[#This Row],[KODE KOMPONEN]],tbl_BahanBaku[KODE KOMPONEN],0)),""))</f>
        <v>BUMBU MARINASI</v>
      </c>
      <c r="G46" s="88">
        <v>2.5</v>
      </c>
      <c r="H46" s="34" t="s">
        <v>5</v>
      </c>
      <c r="I46" s="89">
        <f>IF(tblDetailHPP[[#This Row],[KODE KOMPONEN]]="","",IFERROR(INDEX(tbl_BahanBaku[HARGA PER SATUAN DASAR],MATCH(tblDetailHPP[[#This Row],[KODE KOMPONEN]],tbl_BahanBaku[KODE KOMPONEN],0)),""))</f>
        <v>71.666666666666671</v>
      </c>
      <c r="J46" s="89">
        <f>IF(tblDetailHPP[[#This Row],[KODE KOMPONEN]]="","",IF(tblDetailHPP[[#This Row],[STATUS HARGA]]="OK",ROUND(tblDetailHPP[[#This Row],[QTY PAKAI]]*tblDetailHPP[[#This Row],[HARGA PER SATUAN DASAR]],2),""))</f>
        <v>179.17</v>
      </c>
      <c r="K4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46" s="34">
        <f>IF(tblDetailHPP[[#This Row],[KODE PRODUK]]="",0,IFERROR(INDEX('PENJUALAN (QTY)'!$AH$3:$AH$500,MATCH(tblDetailHPP[[#This Row],[KODE PRODUK]],'PENJUALAN (QTY)'!$A$3:$A$500,0)),0))</f>
        <v>26</v>
      </c>
      <c r="M4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4658.42</v>
      </c>
    </row>
    <row r="47" spans="1:13">
      <c r="A47" s="34" t="s">
        <v>182</v>
      </c>
      <c r="B47" s="34" t="str">
        <f>IFERROR(INDEX(tbl_Produk[NAMA PRODUK],MATCH(tblDetailHPP[[#This Row],[KODE PRODUK]],tbl_Produk[KODE PRODUK],0)),"")</f>
        <v>AYAM GEPREK S. BAWANG + NASI</v>
      </c>
      <c r="C47" s="34" t="s">
        <v>354</v>
      </c>
      <c r="D47" s="34" t="s">
        <v>125</v>
      </c>
      <c r="E47" s="34" t="str">
        <f>IF(tblDetailHPP[[#This Row],[KODE KOMPONEN]]="","",IFERROR(INDEX(tbl_BahanBaku[KATEGORI HPP],MATCH(tblDetailHPP[[#This Row],[KODE KOMPONEN]],tbl_BahanBaku[KODE KOMPONEN],0)),""))</f>
        <v>BUMBU &amp; PELENGKAP</v>
      </c>
      <c r="F47" s="34" t="str">
        <f>IF(tblDetailHPP[[#This Row],[KODE KOMPONEN]]="","",IFERROR(INDEX(tbl_BahanBaku[NAMA KOMPONEN],MATCH(tblDetailHPP[[#This Row],[KODE KOMPONEN]],tbl_BahanBaku[KODE KOMPONEN],0)),""))</f>
        <v>CABAI MERAH BESAR</v>
      </c>
      <c r="G47" s="88">
        <v>15.4</v>
      </c>
      <c r="H47" s="34" t="s">
        <v>5</v>
      </c>
      <c r="I47" s="89">
        <f>IF(tblDetailHPP[[#This Row],[KODE KOMPONEN]]="","",IFERROR(INDEX(tbl_BahanBaku[HARGA PER SATUAN DASAR],MATCH(tblDetailHPP[[#This Row],[KODE KOMPONEN]],tbl_BahanBaku[KODE KOMPONEN],0)),""))</f>
        <v>40</v>
      </c>
      <c r="J47" s="89">
        <f>IF(tblDetailHPP[[#This Row],[KODE KOMPONEN]]="","",IF(tblDetailHPP[[#This Row],[STATUS HARGA]]="OK",ROUND(tblDetailHPP[[#This Row],[QTY PAKAI]]*tblDetailHPP[[#This Row],[HARGA PER SATUAN DASAR]],2),""))</f>
        <v>616</v>
      </c>
      <c r="K4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47" s="34">
        <f>IF(tblDetailHPP[[#This Row],[KODE PRODUK]]="",0,IFERROR(INDEX('PENJUALAN (QTY)'!$AH$3:$AH$500,MATCH(tblDetailHPP[[#This Row],[KODE PRODUK]],'PENJUALAN (QTY)'!$A$3:$A$500,0)),0))</f>
        <v>26</v>
      </c>
      <c r="M4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16016</v>
      </c>
    </row>
    <row r="48" spans="1:13">
      <c r="A48" s="34" t="s">
        <v>182</v>
      </c>
      <c r="B48" s="34" t="str">
        <f>IFERROR(INDEX(tbl_Produk[NAMA PRODUK],MATCH(tblDetailHPP[[#This Row],[KODE PRODUK]],tbl_Produk[KODE PRODUK],0)),"")</f>
        <v>AYAM GEPREK S. BAWANG + NASI</v>
      </c>
      <c r="C48" s="34" t="s">
        <v>354</v>
      </c>
      <c r="D48" s="34" t="s">
        <v>126</v>
      </c>
      <c r="E48" s="34" t="str">
        <f>IF(tblDetailHPP[[#This Row],[KODE KOMPONEN]]="","",IFERROR(INDEX(tbl_BahanBaku[KATEGORI HPP],MATCH(tblDetailHPP[[#This Row],[KODE KOMPONEN]],tbl_BahanBaku[KODE KOMPONEN],0)),""))</f>
        <v>BUMBU &amp; PELENGKAP</v>
      </c>
      <c r="F48" s="34" t="str">
        <f>IF(tblDetailHPP[[#This Row],[KODE KOMPONEN]]="","",IFERROR(INDEX(tbl_BahanBaku[NAMA KOMPONEN],MATCH(tblDetailHPP[[#This Row],[KODE KOMPONEN]],tbl_BahanBaku[KODE KOMPONEN],0)),""))</f>
        <v>CABAI RAWIT</v>
      </c>
      <c r="G48" s="88">
        <v>15.4</v>
      </c>
      <c r="H48" s="34" t="s">
        <v>5</v>
      </c>
      <c r="I48" s="89">
        <f>IF(tblDetailHPP[[#This Row],[KODE KOMPONEN]]="","",IFERROR(INDEX(tbl_BahanBaku[HARGA PER SATUAN DASAR],MATCH(tblDetailHPP[[#This Row],[KODE KOMPONEN]],tbl_BahanBaku[KODE KOMPONEN],0)),""))</f>
        <v>60</v>
      </c>
      <c r="J48" s="89">
        <f>IF(tblDetailHPP[[#This Row],[KODE KOMPONEN]]="","",IF(tblDetailHPP[[#This Row],[STATUS HARGA]]="OK",ROUND(tblDetailHPP[[#This Row],[QTY PAKAI]]*tblDetailHPP[[#This Row],[HARGA PER SATUAN DASAR]],2),""))</f>
        <v>924</v>
      </c>
      <c r="K4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48" s="34">
        <f>IF(tblDetailHPP[[#This Row],[KODE PRODUK]]="",0,IFERROR(INDEX('PENJUALAN (QTY)'!$AH$3:$AH$500,MATCH(tblDetailHPP[[#This Row],[KODE PRODUK]],'PENJUALAN (QTY)'!$A$3:$A$500,0)),0))</f>
        <v>26</v>
      </c>
      <c r="M4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24024</v>
      </c>
    </row>
    <row r="49" spans="1:13">
      <c r="A49" s="34" t="s">
        <v>182</v>
      </c>
      <c r="B49" s="34" t="str">
        <f>IFERROR(INDEX(tbl_Produk[NAMA PRODUK],MATCH(tblDetailHPP[[#This Row],[KODE PRODUK]],tbl_Produk[KODE PRODUK],0)),"")</f>
        <v>AYAM GEPREK S. BAWANG + NASI</v>
      </c>
      <c r="C49" s="34" t="s">
        <v>354</v>
      </c>
      <c r="D49" s="34" t="s">
        <v>129</v>
      </c>
      <c r="E49" s="34" t="str">
        <f>IF(tblDetailHPP[[#This Row],[KODE KOMPONEN]]="","",IFERROR(INDEX(tbl_BahanBaku[KATEGORI HPP],MATCH(tblDetailHPP[[#This Row],[KODE KOMPONEN]],tbl_BahanBaku[KODE KOMPONEN],0)),""))</f>
        <v>KEMASAN &amp; SUPPLIES</v>
      </c>
      <c r="F49" s="34" t="str">
        <f>IF(tblDetailHPP[[#This Row],[KODE KOMPONEN]]="","",IFERROR(INDEX(tbl_BahanBaku[NAMA KOMPONEN],MATCH(tblDetailHPP[[#This Row],[KODE KOMPONEN]],tbl_BahanBaku[KODE KOMPONEN],0)),""))</f>
        <v>CUP 35 ML</v>
      </c>
      <c r="G49" s="88">
        <v>1</v>
      </c>
      <c r="H49" s="34" t="s">
        <v>4</v>
      </c>
      <c r="I49" s="89">
        <f>IF(tblDetailHPP[[#This Row],[KODE KOMPONEN]]="","",IFERROR(INDEX(tbl_BahanBaku[HARGA PER SATUAN DASAR],MATCH(tblDetailHPP[[#This Row],[KODE KOMPONEN]],tbl_BahanBaku[KODE KOMPONEN],0)),""))</f>
        <v>220</v>
      </c>
      <c r="J49" s="89">
        <f>IF(tblDetailHPP[[#This Row],[KODE KOMPONEN]]="","",IF(tblDetailHPP[[#This Row],[STATUS HARGA]]="OK",ROUND(tblDetailHPP[[#This Row],[QTY PAKAI]]*tblDetailHPP[[#This Row],[HARGA PER SATUAN DASAR]],2),""))</f>
        <v>220</v>
      </c>
      <c r="K4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49" s="34">
        <f>IF(tblDetailHPP[[#This Row],[KODE PRODUK]]="",0,IFERROR(INDEX('PENJUALAN (QTY)'!$AH$3:$AH$500,MATCH(tblDetailHPP[[#This Row],[KODE PRODUK]],'PENJUALAN (QTY)'!$A$3:$A$500,0)),0))</f>
        <v>26</v>
      </c>
      <c r="M4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5720</v>
      </c>
    </row>
    <row r="50" spans="1:13">
      <c r="A50" s="34" t="s">
        <v>182</v>
      </c>
      <c r="B50" s="34" t="str">
        <f>IFERROR(INDEX(tbl_Produk[NAMA PRODUK],MATCH(tblDetailHPP[[#This Row],[KODE PRODUK]],tbl_Produk[KODE PRODUK],0)),"")</f>
        <v>AYAM GEPREK S. BAWANG + NASI</v>
      </c>
      <c r="C50" s="34" t="s">
        <v>354</v>
      </c>
      <c r="D50" s="34" t="s">
        <v>142</v>
      </c>
      <c r="E50" s="34" t="str">
        <f>IF(tblDetailHPP[[#This Row],[KODE KOMPONEN]]="","",IFERROR(INDEX(tbl_BahanBaku[KATEGORI HPP],MATCH(tblDetailHPP[[#This Row],[KODE KOMPONEN]],tbl_BahanBaku[KODE KOMPONEN],0)),""))</f>
        <v>OVERHEAD / OPERASIONAL</v>
      </c>
      <c r="F50" s="34" t="str">
        <f>IF(tblDetailHPP[[#This Row],[KODE KOMPONEN]]="","",IFERROR(INDEX(tbl_BahanBaku[NAMA KOMPONEN],MATCH(tblDetailHPP[[#This Row],[KODE KOMPONEN]],tbl_BahanBaku[KODE KOMPONEN],0)),""))</f>
        <v>KERTAS PRINTER</v>
      </c>
      <c r="G50" s="88">
        <v>15</v>
      </c>
      <c r="H50" s="34" t="s">
        <v>222</v>
      </c>
      <c r="I50" s="89">
        <f>IF(tblDetailHPP[[#This Row],[KODE KOMPONEN]]="","",IFERROR(INDEX(tbl_BahanBaku[HARGA PER SATUAN DASAR],MATCH(tblDetailHPP[[#This Row],[KODE KOMPONEN]],tbl_BahanBaku[KODE KOMPONEN],0)),""))</f>
        <v>5</v>
      </c>
      <c r="J50" s="89">
        <f>IF(tblDetailHPP[[#This Row],[KODE KOMPONEN]]="","",IF(tblDetailHPP[[#This Row],[STATUS HARGA]]="OK",ROUND(tblDetailHPP[[#This Row],[QTY PAKAI]]*tblDetailHPP[[#This Row],[HARGA PER SATUAN DASAR]],2),""))</f>
        <v>75</v>
      </c>
      <c r="K5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50" s="34">
        <f>IF(tblDetailHPP[[#This Row],[KODE PRODUK]]="",0,IFERROR(INDEX('PENJUALAN (QTY)'!$AH$3:$AH$500,MATCH(tblDetailHPP[[#This Row],[KODE PRODUK]],'PENJUALAN (QTY)'!$A$3:$A$500,0)),0))</f>
        <v>26</v>
      </c>
      <c r="M5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1950</v>
      </c>
    </row>
    <row r="51" spans="1:13">
      <c r="A51" s="34" t="s">
        <v>182</v>
      </c>
      <c r="B51" s="34" t="str">
        <f>IFERROR(INDEX(tbl_Produk[NAMA PRODUK],MATCH(tblDetailHPP[[#This Row],[KODE PRODUK]],tbl_Produk[KODE PRODUK],0)),"")</f>
        <v>AYAM GEPREK S. BAWANG + NASI</v>
      </c>
      <c r="C51" s="34" t="s">
        <v>354</v>
      </c>
      <c r="D51" s="34" t="s">
        <v>143</v>
      </c>
      <c r="E51" s="34" t="str">
        <f>IF(tblDetailHPP[[#This Row],[KODE KOMPONEN]]="","",IFERROR(INDEX(tbl_BahanBaku[KATEGORI HPP],MATCH(tblDetailHPP[[#This Row],[KODE KOMPONEN]],tbl_BahanBaku[KODE KOMPONEN],0)),""))</f>
        <v>OVERHEAD / OPERASIONAL</v>
      </c>
      <c r="F51" s="34" t="str">
        <f>IF(tblDetailHPP[[#This Row],[KODE KOMPONEN]]="","",IFERROR(INDEX(tbl_BahanBaku[NAMA KOMPONEN],MATCH(tblDetailHPP[[#This Row],[KODE KOMPONEN]],tbl_BahanBaku[KODE KOMPONEN],0)),""))</f>
        <v>LPG 3KG</v>
      </c>
      <c r="G51" s="88">
        <v>26</v>
      </c>
      <c r="H51" s="34" t="s">
        <v>5</v>
      </c>
      <c r="I51" s="89">
        <f>IF(tblDetailHPP[[#This Row],[KODE KOMPONEN]]="","",IFERROR(INDEX(tbl_BahanBaku[HARGA PER SATUAN DASAR],MATCH(tblDetailHPP[[#This Row],[KODE KOMPONEN]],tbl_BahanBaku[KODE KOMPONEN],0)),""))</f>
        <v>7.666666666666667</v>
      </c>
      <c r="J51" s="89">
        <f>IF(tblDetailHPP[[#This Row],[KODE KOMPONEN]]="","",IF(tblDetailHPP[[#This Row],[STATUS HARGA]]="OK",ROUND(tblDetailHPP[[#This Row],[QTY PAKAI]]*tblDetailHPP[[#This Row],[HARGA PER SATUAN DASAR]],2),""))</f>
        <v>199.33</v>
      </c>
      <c r="K5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51" s="34">
        <f>IF(tblDetailHPP[[#This Row],[KODE PRODUK]]="",0,IFERROR(INDEX('PENJUALAN (QTY)'!$AH$3:$AH$500,MATCH(tblDetailHPP[[#This Row],[KODE PRODUK]],'PENJUALAN (QTY)'!$A$3:$A$500,0)),0))</f>
        <v>26</v>
      </c>
      <c r="M5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5182.58</v>
      </c>
    </row>
    <row r="52" spans="1:13">
      <c r="A52" s="34" t="s">
        <v>182</v>
      </c>
      <c r="B52" s="34" t="str">
        <f>IFERROR(INDEX(tbl_Produk[NAMA PRODUK],MATCH(tblDetailHPP[[#This Row],[KODE PRODUK]],tbl_Produk[KODE PRODUK],0)),"")</f>
        <v>AYAM GEPREK S. BAWANG + NASI</v>
      </c>
      <c r="C52" s="34" t="s">
        <v>354</v>
      </c>
      <c r="D52" s="34" t="s">
        <v>145</v>
      </c>
      <c r="E52" s="34" t="str">
        <f>IF(tblDetailHPP[[#This Row],[KODE KOMPONEN]]="","",IFERROR(INDEX(tbl_BahanBaku[KATEGORI HPP],MATCH(tblDetailHPP[[#This Row],[KODE KOMPONEN]],tbl_BahanBaku[KODE KOMPONEN],0)),""))</f>
        <v>KEMASAN &amp; SUPPLIES</v>
      </c>
      <c r="F52" s="34" t="str">
        <f>IF(tblDetailHPP[[#This Row],[KODE KOMPONEN]]="","",IFERROR(INDEX(tbl_BahanBaku[NAMA KOMPONEN],MATCH(tblDetailHPP[[#This Row],[KODE KOMPONEN]],tbl_BahanBaku[KODE KOMPONEN],0)),""))</f>
        <v>LUNCHBOX M</v>
      </c>
      <c r="G52" s="88">
        <v>1</v>
      </c>
      <c r="H52" s="34" t="s">
        <v>4</v>
      </c>
      <c r="I52" s="89">
        <f>IF(tblDetailHPP[[#This Row],[KODE KOMPONEN]]="","",IFERROR(INDEX(tbl_BahanBaku[HARGA PER SATUAN DASAR],MATCH(tblDetailHPP[[#This Row],[KODE KOMPONEN]],tbl_BahanBaku[KODE KOMPONEN],0)),""))</f>
        <v>550</v>
      </c>
      <c r="J52" s="89">
        <f>IF(tblDetailHPP[[#This Row],[KODE KOMPONEN]]="","",IF(tblDetailHPP[[#This Row],[STATUS HARGA]]="OK",ROUND(tblDetailHPP[[#This Row],[QTY PAKAI]]*tblDetailHPP[[#This Row],[HARGA PER SATUAN DASAR]],2),""))</f>
        <v>550</v>
      </c>
      <c r="K5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52" s="34">
        <f>IF(tblDetailHPP[[#This Row],[KODE PRODUK]]="",0,IFERROR(INDEX('PENJUALAN (QTY)'!$AH$3:$AH$500,MATCH(tblDetailHPP[[#This Row],[KODE PRODUK]],'PENJUALAN (QTY)'!$A$3:$A$500,0)),0))</f>
        <v>26</v>
      </c>
      <c r="M5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14300</v>
      </c>
    </row>
    <row r="53" spans="1:13">
      <c r="A53" s="34" t="s">
        <v>182</v>
      </c>
      <c r="B53" s="34" t="str">
        <f>IFERROR(INDEX(tbl_Produk[NAMA PRODUK],MATCH(tblDetailHPP[[#This Row],[KODE PRODUK]],tbl_Produk[KODE PRODUK],0)),"")</f>
        <v>AYAM GEPREK S. BAWANG + NASI</v>
      </c>
      <c r="C53" s="34" t="s">
        <v>354</v>
      </c>
      <c r="D53" s="34" t="s">
        <v>150</v>
      </c>
      <c r="E53" s="34" t="str">
        <f>IF(tblDetailHPP[[#This Row],[KODE KOMPONEN]]="","",IFERROR(INDEX(tbl_BahanBaku[KATEGORI HPP],MATCH(tblDetailHPP[[#This Row],[KODE KOMPONEN]],tbl_BahanBaku[KODE KOMPONEN],0)),""))</f>
        <v>BUMBU &amp; PELENGKAP</v>
      </c>
      <c r="F53" s="34" t="str">
        <f>IF(tblDetailHPP[[#This Row],[KODE KOMPONEN]]="","",IFERROR(INDEX(tbl_BahanBaku[NAMA KOMPONEN],MATCH(tblDetailHPP[[#This Row],[KODE KOMPONEN]],tbl_BahanBaku[KODE KOMPONEN],0)),""))</f>
        <v>MINYAK</v>
      </c>
      <c r="G53" s="88">
        <v>60</v>
      </c>
      <c r="H53" s="34" t="s">
        <v>6</v>
      </c>
      <c r="I53" s="89">
        <f>IF(tblDetailHPP[[#This Row],[KODE KOMPONEN]]="","",IFERROR(INDEX(tbl_BahanBaku[HARGA PER SATUAN DASAR],MATCH(tblDetailHPP[[#This Row],[KODE KOMPONEN]],tbl_BahanBaku[KODE KOMPONEN],0)),""))</f>
        <v>23</v>
      </c>
      <c r="J53" s="89">
        <f>IF(tblDetailHPP[[#This Row],[KODE KOMPONEN]]="","",IF(tblDetailHPP[[#This Row],[STATUS HARGA]]="OK",ROUND(tblDetailHPP[[#This Row],[QTY PAKAI]]*tblDetailHPP[[#This Row],[HARGA PER SATUAN DASAR]],2),""))</f>
        <v>1380</v>
      </c>
      <c r="K5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53" s="34">
        <f>IF(tblDetailHPP[[#This Row],[KODE PRODUK]]="",0,IFERROR(INDEX('PENJUALAN (QTY)'!$AH$3:$AH$500,MATCH(tblDetailHPP[[#This Row],[KODE PRODUK]],'PENJUALAN (QTY)'!$A$3:$A$500,0)),0))</f>
        <v>26</v>
      </c>
      <c r="M5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35880</v>
      </c>
    </row>
    <row r="54" spans="1:13">
      <c r="A54" s="34" t="s">
        <v>182</v>
      </c>
      <c r="B54" s="34" t="str">
        <f>IFERROR(INDEX(tbl_Produk[NAMA PRODUK],MATCH(tblDetailHPP[[#This Row],[KODE PRODUK]],tbl_Produk[KODE PRODUK],0)),"")</f>
        <v>AYAM GEPREK S. BAWANG + NASI</v>
      </c>
      <c r="C54" s="34" t="s">
        <v>354</v>
      </c>
      <c r="D54" s="34" t="s">
        <v>156</v>
      </c>
      <c r="E54" s="34" t="str">
        <f>IF(tblDetailHPP[[#This Row],[KODE KOMPONEN]]="","",IFERROR(INDEX(tbl_BahanBaku[KATEGORI HPP],MATCH(tblDetailHPP[[#This Row],[KODE KOMPONEN]],tbl_BahanBaku[KODE KOMPONEN],0)),""))</f>
        <v>KEMASAN &amp; SUPPLIES</v>
      </c>
      <c r="F54" s="34" t="str">
        <f>IF(tblDetailHPP[[#This Row],[KODE KOMPONEN]]="","",IFERROR(INDEX(tbl_BahanBaku[NAMA KOMPONEN],MATCH(tblDetailHPP[[#This Row],[KODE KOMPONEN]],tbl_BahanBaku[KODE KOMPONEN],0)),""))</f>
        <v>PAPER RICE</v>
      </c>
      <c r="G54" s="88">
        <v>1</v>
      </c>
      <c r="H54" s="34" t="s">
        <v>76</v>
      </c>
      <c r="I54" s="89">
        <f>IF(tblDetailHPP[[#This Row],[KODE KOMPONEN]]="","",IFERROR(INDEX(tbl_BahanBaku[HARGA PER SATUAN DASAR],MATCH(tblDetailHPP[[#This Row],[KODE KOMPONEN]],tbl_BahanBaku[KODE KOMPONEN],0)),""))</f>
        <v>100</v>
      </c>
      <c r="J54" s="89">
        <f>IF(tblDetailHPP[[#This Row],[KODE KOMPONEN]]="","",IF(tblDetailHPP[[#This Row],[STATUS HARGA]]="OK",ROUND(tblDetailHPP[[#This Row],[QTY PAKAI]]*tblDetailHPP[[#This Row],[HARGA PER SATUAN DASAR]],2),""))</f>
        <v>100</v>
      </c>
      <c r="K5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54" s="34">
        <f>IF(tblDetailHPP[[#This Row],[KODE PRODUK]]="",0,IFERROR(INDEX('PENJUALAN (QTY)'!$AH$3:$AH$500,MATCH(tblDetailHPP[[#This Row],[KODE PRODUK]],'PENJUALAN (QTY)'!$A$3:$A$500,0)),0))</f>
        <v>26</v>
      </c>
      <c r="M5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2600</v>
      </c>
    </row>
    <row r="55" spans="1:13">
      <c r="A55" s="34" t="s">
        <v>182</v>
      </c>
      <c r="B55" s="34" t="str">
        <f>IFERROR(INDEX(tbl_Produk[NAMA PRODUK],MATCH(tblDetailHPP[[#This Row],[KODE PRODUK]],tbl_Produk[KODE PRODUK],0)),"")</f>
        <v>AYAM GEPREK S. BAWANG + NASI</v>
      </c>
      <c r="C55" s="34" t="s">
        <v>354</v>
      </c>
      <c r="D55" s="34" t="s">
        <v>159</v>
      </c>
      <c r="E55" s="34" t="str">
        <f>IF(tblDetailHPP[[#This Row],[KODE KOMPONEN]]="","",IFERROR(INDEX(tbl_BahanBaku[KATEGORI HPP],MATCH(tblDetailHPP[[#This Row],[KODE KOMPONEN]],tbl_BahanBaku[KODE KOMPONEN],0)),""))</f>
        <v>KEMASAN &amp; SUPPLIES</v>
      </c>
      <c r="F55" s="34" t="str">
        <f>IF(tblDetailHPP[[#This Row],[KODE KOMPONEN]]="","",IFERROR(INDEX(tbl_BahanBaku[NAMA KOMPONEN],MATCH(tblDetailHPP[[#This Row],[KODE KOMPONEN]],tbl_BahanBaku[KODE KOMPONEN],0)),""))</f>
        <v>PLASTIK UK. 21</v>
      </c>
      <c r="G55" s="88">
        <v>1</v>
      </c>
      <c r="H55" s="34" t="s">
        <v>4</v>
      </c>
      <c r="I55" s="89">
        <f>IF(tblDetailHPP[[#This Row],[KODE KOMPONEN]]="","",IFERROR(INDEX(tbl_BahanBaku[HARGA PER SATUAN DASAR],MATCH(tblDetailHPP[[#This Row],[KODE KOMPONEN]],tbl_BahanBaku[KODE KOMPONEN],0)),""))</f>
        <v>280</v>
      </c>
      <c r="J55" s="89">
        <f>IF(tblDetailHPP[[#This Row],[KODE KOMPONEN]]="","",IF(tblDetailHPP[[#This Row],[STATUS HARGA]]="OK",ROUND(tblDetailHPP[[#This Row],[QTY PAKAI]]*tblDetailHPP[[#This Row],[HARGA PER SATUAN DASAR]],2),""))</f>
        <v>280</v>
      </c>
      <c r="K5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55" s="34">
        <f>IF(tblDetailHPP[[#This Row],[KODE PRODUK]]="",0,IFERROR(INDEX('PENJUALAN (QTY)'!$AH$3:$AH$500,MATCH(tblDetailHPP[[#This Row],[KODE PRODUK]],'PENJUALAN (QTY)'!$A$3:$A$500,0)),0))</f>
        <v>26</v>
      </c>
      <c r="M5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7280</v>
      </c>
    </row>
    <row r="56" spans="1:13">
      <c r="A56" s="34" t="s">
        <v>182</v>
      </c>
      <c r="B56" s="34" t="str">
        <f>IFERROR(INDEX(tbl_Produk[NAMA PRODUK],MATCH(tblDetailHPP[[#This Row],[KODE PRODUK]],tbl_Produk[KODE PRODUK],0)),"")</f>
        <v>AYAM GEPREK S. BAWANG + NASI</v>
      </c>
      <c r="C56" s="34" t="s">
        <v>354</v>
      </c>
      <c r="D56" s="34" t="s">
        <v>170</v>
      </c>
      <c r="E56" s="34" t="str">
        <f>IF(tblDetailHPP[[#This Row],[KODE KOMPONEN]]="","",IFERROR(INDEX(tbl_BahanBaku[KATEGORI HPP],MATCH(tblDetailHPP[[#This Row],[KODE KOMPONEN]],tbl_BahanBaku[KODE KOMPONEN],0)),""))</f>
        <v>OVERHEAD / OPERASIONAL</v>
      </c>
      <c r="F56" s="34" t="str">
        <f>IF(tblDetailHPP[[#This Row],[KODE KOMPONEN]]="","",IFERROR(INDEX(tbl_BahanBaku[NAMA KOMPONEN],MATCH(tblDetailHPP[[#This Row],[KODE KOMPONEN]],tbl_BahanBaku[KODE KOMPONEN],0)),""))</f>
        <v>STICKER BRANDING</v>
      </c>
      <c r="G56" s="88">
        <v>1</v>
      </c>
      <c r="H56" s="34" t="s">
        <v>4</v>
      </c>
      <c r="I56" s="89">
        <f>IF(tblDetailHPP[[#This Row],[KODE KOMPONEN]]="","",IFERROR(INDEX(tbl_BahanBaku[HARGA PER SATUAN DASAR],MATCH(tblDetailHPP[[#This Row],[KODE KOMPONEN]],tbl_BahanBaku[KODE KOMPONEN],0)),""))</f>
        <v>129.87012987012986</v>
      </c>
      <c r="J56" s="89">
        <f>IF(tblDetailHPP[[#This Row],[KODE KOMPONEN]]="","",IF(tblDetailHPP[[#This Row],[STATUS HARGA]]="OK",ROUND(tblDetailHPP[[#This Row],[QTY PAKAI]]*tblDetailHPP[[#This Row],[HARGA PER SATUAN DASAR]],2),""))</f>
        <v>129.87</v>
      </c>
      <c r="K5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56" s="34">
        <f>IF(tblDetailHPP[[#This Row],[KODE PRODUK]]="",0,IFERROR(INDEX('PENJUALAN (QTY)'!$AH$3:$AH$500,MATCH(tblDetailHPP[[#This Row],[KODE PRODUK]],'PENJUALAN (QTY)'!$A$3:$A$500,0)),0))</f>
        <v>26</v>
      </c>
      <c r="M5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3376.62</v>
      </c>
    </row>
    <row r="57" spans="1:13">
      <c r="A57" s="34" t="s">
        <v>182</v>
      </c>
      <c r="B57" s="34" t="str">
        <f>IFERROR(INDEX(tbl_Produk[NAMA PRODUK],MATCH(tblDetailHPP[[#This Row],[KODE PRODUK]],tbl_Produk[KODE PRODUK],0)),"")</f>
        <v>AYAM GEPREK S. BAWANG + NASI</v>
      </c>
      <c r="C57" s="34" t="s">
        <v>354</v>
      </c>
      <c r="D57" s="34" t="s">
        <v>174</v>
      </c>
      <c r="E57" s="34" t="str">
        <f>IF(tblDetailHPP[[#This Row],[KODE KOMPONEN]]="","",IFERROR(INDEX(tbl_BahanBaku[KATEGORI HPP],MATCH(tblDetailHPP[[#This Row],[KODE KOMPONEN]],tbl_BahanBaku[KODE KOMPONEN],0)),""))</f>
        <v>BUMBU &amp; PELENGKAP</v>
      </c>
      <c r="F57" s="34" t="str">
        <f>IF(tblDetailHPP[[#This Row],[KODE KOMPONEN]]="","",IFERROR(INDEX(tbl_BahanBaku[NAMA KOMPONEN],MATCH(tblDetailHPP[[#This Row],[KODE KOMPONEN]],tbl_BahanBaku[KODE KOMPONEN],0)),""))</f>
        <v>TEPUNG TERIGU</v>
      </c>
      <c r="G57" s="88">
        <v>125</v>
      </c>
      <c r="H57" s="34" t="s">
        <v>5</v>
      </c>
      <c r="I57" s="89">
        <f>IF(tblDetailHPP[[#This Row],[KODE KOMPONEN]]="","",IFERROR(INDEX(tbl_BahanBaku[HARGA PER SATUAN DASAR],MATCH(tblDetailHPP[[#This Row],[KODE KOMPONEN]],tbl_BahanBaku[KODE KOMPONEN],0)),""))</f>
        <v>8</v>
      </c>
      <c r="J57" s="89">
        <f>IF(tblDetailHPP[[#This Row],[KODE KOMPONEN]]="","",IF(tblDetailHPP[[#This Row],[STATUS HARGA]]="OK",ROUND(tblDetailHPP[[#This Row],[QTY PAKAI]]*tblDetailHPP[[#This Row],[HARGA PER SATUAN DASAR]],2),""))</f>
        <v>1000</v>
      </c>
      <c r="K5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57" s="34">
        <f>IF(tblDetailHPP[[#This Row],[KODE PRODUK]]="",0,IFERROR(INDEX('PENJUALAN (QTY)'!$AH$3:$AH$500,MATCH(tblDetailHPP[[#This Row],[KODE PRODUK]],'PENJUALAN (QTY)'!$A$3:$A$500,0)),0))</f>
        <v>26</v>
      </c>
      <c r="M5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26000</v>
      </c>
    </row>
    <row r="58" spans="1:13">
      <c r="A58" s="34" t="s">
        <v>182</v>
      </c>
      <c r="B58" s="34" t="str">
        <f>IFERROR(INDEX(tbl_Produk[NAMA PRODUK],MATCH(tblDetailHPP[[#This Row],[KODE PRODUK]],tbl_Produk[KODE PRODUK],0)),"")</f>
        <v>AYAM GEPREK S. BAWANG + NASI</v>
      </c>
      <c r="C58" s="34" t="s">
        <v>354</v>
      </c>
      <c r="D58" s="34" t="s">
        <v>175</v>
      </c>
      <c r="E58" s="34" t="str">
        <f>IF(tblDetailHPP[[#This Row],[KODE KOMPONEN]]="","",IFERROR(INDEX(tbl_BahanBaku[KATEGORI HPP],MATCH(tblDetailHPP[[#This Row],[KODE KOMPONEN]],tbl_BahanBaku[KODE KOMPONEN],0)),""))</f>
        <v>BUMBU &amp; PELENGKAP</v>
      </c>
      <c r="F58" s="34" t="str">
        <f>IF(tblDetailHPP[[#This Row],[KODE KOMPONEN]]="","",IFERROR(INDEX(tbl_BahanBaku[NAMA KOMPONEN],MATCH(tblDetailHPP[[#This Row],[KODE KOMPONEN]],tbl_BahanBaku[KODE KOMPONEN],0)),""))</f>
        <v>TIMUN</v>
      </c>
      <c r="G58" s="88">
        <v>20</v>
      </c>
      <c r="H58" s="34" t="s">
        <v>5</v>
      </c>
      <c r="I58" s="89">
        <f>IF(tblDetailHPP[[#This Row],[KODE KOMPONEN]]="","",IFERROR(INDEX(tbl_BahanBaku[HARGA PER SATUAN DASAR],MATCH(tblDetailHPP[[#This Row],[KODE KOMPONEN]],tbl_BahanBaku[KODE KOMPONEN],0)),""))</f>
        <v>15</v>
      </c>
      <c r="J58" s="89">
        <f>IF(tblDetailHPP[[#This Row],[KODE KOMPONEN]]="","",IF(tblDetailHPP[[#This Row],[STATUS HARGA]]="OK",ROUND(tblDetailHPP[[#This Row],[QTY PAKAI]]*tblDetailHPP[[#This Row],[HARGA PER SATUAN DASAR]],2),""))</f>
        <v>300</v>
      </c>
      <c r="K5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58" s="34">
        <f>IF(tblDetailHPP[[#This Row],[KODE PRODUK]]="",0,IFERROR(INDEX('PENJUALAN (QTY)'!$AH$3:$AH$500,MATCH(tblDetailHPP[[#This Row],[KODE PRODUK]],'PENJUALAN (QTY)'!$A$3:$A$500,0)),0))</f>
        <v>26</v>
      </c>
      <c r="M5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7800</v>
      </c>
    </row>
    <row r="59" spans="1:13">
      <c r="A59" s="34" t="s">
        <v>183</v>
      </c>
      <c r="B59" s="34" t="str">
        <f>IFERROR(INDEX(tbl_Produk[NAMA PRODUK],MATCH(tblDetailHPP[[#This Row],[KODE PRODUK]],tbl_Produk[KODE PRODUK],0)),"")</f>
        <v>AYAM GEPREK S. IJO</v>
      </c>
      <c r="C59" s="34" t="s">
        <v>354</v>
      </c>
      <c r="D59" s="34" t="s">
        <v>114</v>
      </c>
      <c r="E59" s="34" t="str">
        <f>IF(tblDetailHPP[[#This Row],[KODE KOMPONEN]]="","",IFERROR(INDEX(tbl_BahanBaku[KATEGORI HPP],MATCH(tblDetailHPP[[#This Row],[KODE KOMPONEN]],tbl_BahanBaku[KODE KOMPONEN],0)),""))</f>
        <v>BAHAN UTAMA</v>
      </c>
      <c r="F59" s="34" t="str">
        <f>IF(tblDetailHPP[[#This Row],[KODE KOMPONEN]]="","",IFERROR(INDEX(tbl_BahanBaku[NAMA KOMPONEN],MATCH(tblDetailHPP[[#This Row],[KODE KOMPONEN]],tbl_BahanBaku[KODE KOMPONEN],0)),""))</f>
        <v>AYAM POTONG</v>
      </c>
      <c r="G59" s="88">
        <v>83.3</v>
      </c>
      <c r="H59" s="34" t="s">
        <v>5</v>
      </c>
      <c r="I59" s="89">
        <f>IF(tblDetailHPP[[#This Row],[KODE KOMPONEN]]="","",IFERROR(INDEX(tbl_BahanBaku[HARGA PER SATUAN DASAR],MATCH(tblDetailHPP[[#This Row],[KODE KOMPONEN]],tbl_BahanBaku[KODE KOMPONEN],0)),""))</f>
        <v>26.5</v>
      </c>
      <c r="J59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5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59" s="34">
        <f>IF(tblDetailHPP[[#This Row],[KODE PRODUK]]="",0,IFERROR(INDEX('PENJUALAN (QTY)'!$AH$3:$AH$500,MATCH(tblDetailHPP[[#This Row],[KODE PRODUK]],'PENJUALAN (QTY)'!$A$3:$A$500,0)),0))</f>
        <v>0</v>
      </c>
      <c r="M5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60" spans="1:13">
      <c r="A60" s="34" t="s">
        <v>183</v>
      </c>
      <c r="B60" s="34" t="str">
        <f>IFERROR(INDEX(tbl_Produk[NAMA PRODUK],MATCH(tblDetailHPP[[#This Row],[KODE PRODUK]],tbl_Produk[KODE PRODUK],0)),"")</f>
        <v>AYAM GEPREK S. IJO</v>
      </c>
      <c r="C60" s="34" t="s">
        <v>354</v>
      </c>
      <c r="D60" s="34" t="s">
        <v>118</v>
      </c>
      <c r="E60" s="34" t="str">
        <f>IF(tblDetailHPP[[#This Row],[KODE KOMPONEN]]="","",IFERROR(INDEX(tbl_BahanBaku[KATEGORI HPP],MATCH(tblDetailHPP[[#This Row],[KODE KOMPONEN]],tbl_BahanBaku[KODE KOMPONEN],0)),""))</f>
        <v>BUMBU &amp; PELENGKAP</v>
      </c>
      <c r="F60" s="34" t="str">
        <f>IF(tblDetailHPP[[#This Row],[KODE KOMPONEN]]="","",IFERROR(INDEX(tbl_BahanBaku[NAMA KOMPONEN],MATCH(tblDetailHPP[[#This Row],[KODE KOMPONEN]],tbl_BahanBaku[KODE KOMPONEN],0)),""))</f>
        <v>BAWANG MERAH</v>
      </c>
      <c r="G60" s="88">
        <v>1.5</v>
      </c>
      <c r="H60" s="34" t="s">
        <v>5</v>
      </c>
      <c r="I60" s="89">
        <f>IF(tblDetailHPP[[#This Row],[KODE KOMPONEN]]="","",IFERROR(INDEX(tbl_BahanBaku[HARGA PER SATUAN DASAR],MATCH(tblDetailHPP[[#This Row],[KODE KOMPONEN]],tbl_BahanBaku[KODE KOMPONEN],0)),""))</f>
        <v>40</v>
      </c>
      <c r="J60" s="89">
        <f>IF(tblDetailHPP[[#This Row],[KODE KOMPONEN]]="","",IF(tblDetailHPP[[#This Row],[STATUS HARGA]]="OK",ROUND(tblDetailHPP[[#This Row],[QTY PAKAI]]*tblDetailHPP[[#This Row],[HARGA PER SATUAN DASAR]],2),""))</f>
        <v>60</v>
      </c>
      <c r="K6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60" s="34">
        <f>IF(tblDetailHPP[[#This Row],[KODE PRODUK]]="",0,IFERROR(INDEX('PENJUALAN (QTY)'!$AH$3:$AH$500,MATCH(tblDetailHPP[[#This Row],[KODE PRODUK]],'PENJUALAN (QTY)'!$A$3:$A$500,0)),0))</f>
        <v>0</v>
      </c>
      <c r="M6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61" spans="1:13">
      <c r="A61" s="34" t="s">
        <v>183</v>
      </c>
      <c r="B61" s="34" t="str">
        <f>IFERROR(INDEX(tbl_Produk[NAMA PRODUK],MATCH(tblDetailHPP[[#This Row],[KODE PRODUK]],tbl_Produk[KODE PRODUK],0)),"")</f>
        <v>AYAM GEPREK S. IJO</v>
      </c>
      <c r="C61" s="34" t="s">
        <v>354</v>
      </c>
      <c r="D61" s="34" t="s">
        <v>119</v>
      </c>
      <c r="E61" s="34" t="str">
        <f>IF(tblDetailHPP[[#This Row],[KODE KOMPONEN]]="","",IFERROR(INDEX(tbl_BahanBaku[KATEGORI HPP],MATCH(tblDetailHPP[[#This Row],[KODE KOMPONEN]],tbl_BahanBaku[KODE KOMPONEN],0)),""))</f>
        <v>BUMBU &amp; PELENGKAP</v>
      </c>
      <c r="F61" s="34" t="str">
        <f>IF(tblDetailHPP[[#This Row],[KODE KOMPONEN]]="","",IFERROR(INDEX(tbl_BahanBaku[NAMA KOMPONEN],MATCH(tblDetailHPP[[#This Row],[KODE KOMPONEN]],tbl_BahanBaku[KODE KOMPONEN],0)),""))</f>
        <v>BAWANG PUTIH</v>
      </c>
      <c r="G61" s="88">
        <v>1.5</v>
      </c>
      <c r="H61" s="34" t="s">
        <v>5</v>
      </c>
      <c r="I61" s="89">
        <f>IF(tblDetailHPP[[#This Row],[KODE KOMPONEN]]="","",IFERROR(INDEX(tbl_BahanBaku[HARGA PER SATUAN DASAR],MATCH(tblDetailHPP[[#This Row],[KODE KOMPONEN]],tbl_BahanBaku[KODE KOMPONEN],0)),""))</f>
        <v>40</v>
      </c>
      <c r="J61" s="89">
        <f>IF(tblDetailHPP[[#This Row],[KODE KOMPONEN]]="","",IF(tblDetailHPP[[#This Row],[STATUS HARGA]]="OK",ROUND(tblDetailHPP[[#This Row],[QTY PAKAI]]*tblDetailHPP[[#This Row],[HARGA PER SATUAN DASAR]],2),""))</f>
        <v>60</v>
      </c>
      <c r="K6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61" s="34">
        <f>IF(tblDetailHPP[[#This Row],[KODE PRODUK]]="",0,IFERROR(INDEX('PENJUALAN (QTY)'!$AH$3:$AH$500,MATCH(tblDetailHPP[[#This Row],[KODE PRODUK]],'PENJUALAN (QTY)'!$A$3:$A$500,0)),0))</f>
        <v>0</v>
      </c>
      <c r="M6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62" spans="1:13">
      <c r="A62" s="34" t="s">
        <v>183</v>
      </c>
      <c r="B62" s="34" t="str">
        <f>IFERROR(INDEX(tbl_Produk[NAMA PRODUK],MATCH(tblDetailHPP[[#This Row],[KODE PRODUK]],tbl_Produk[KODE PRODUK],0)),"")</f>
        <v>AYAM GEPREK S. IJO</v>
      </c>
      <c r="C62" s="34" t="s">
        <v>354</v>
      </c>
      <c r="D62" s="34" t="s">
        <v>121</v>
      </c>
      <c r="E62" s="34" t="str">
        <f>IF(tblDetailHPP[[#This Row],[KODE KOMPONEN]]="","",IFERROR(INDEX(tbl_BahanBaku[KATEGORI HPP],MATCH(tblDetailHPP[[#This Row],[KODE KOMPONEN]],tbl_BahanBaku[KODE KOMPONEN],0)),""))</f>
        <v>BUMBU &amp; PELENGKAP</v>
      </c>
      <c r="F62" s="34" t="str">
        <f>IF(tblDetailHPP[[#This Row],[KODE KOMPONEN]]="","",IFERROR(INDEX(tbl_BahanBaku[NAMA KOMPONEN],MATCH(tblDetailHPP[[#This Row],[KODE KOMPONEN]],tbl_BahanBaku[KODE KOMPONEN],0)),""))</f>
        <v>BUMBU MARINASI</v>
      </c>
      <c r="G62" s="88">
        <v>2.5</v>
      </c>
      <c r="H62" s="34" t="s">
        <v>5</v>
      </c>
      <c r="I62" s="89">
        <f>IF(tblDetailHPP[[#This Row],[KODE KOMPONEN]]="","",IFERROR(INDEX(tbl_BahanBaku[HARGA PER SATUAN DASAR],MATCH(tblDetailHPP[[#This Row],[KODE KOMPONEN]],tbl_BahanBaku[KODE KOMPONEN],0)),""))</f>
        <v>71.666666666666671</v>
      </c>
      <c r="J62" s="89">
        <f>IF(tblDetailHPP[[#This Row],[KODE KOMPONEN]]="","",IF(tblDetailHPP[[#This Row],[STATUS HARGA]]="OK",ROUND(tblDetailHPP[[#This Row],[QTY PAKAI]]*tblDetailHPP[[#This Row],[HARGA PER SATUAN DASAR]],2),""))</f>
        <v>179.17</v>
      </c>
      <c r="K6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62" s="34">
        <f>IF(tblDetailHPP[[#This Row],[KODE PRODUK]]="",0,IFERROR(INDEX('PENJUALAN (QTY)'!$AH$3:$AH$500,MATCH(tblDetailHPP[[#This Row],[KODE PRODUK]],'PENJUALAN (QTY)'!$A$3:$A$500,0)),0))</f>
        <v>0</v>
      </c>
      <c r="M6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63" spans="1:13">
      <c r="A63" s="34" t="s">
        <v>183</v>
      </c>
      <c r="B63" s="34" t="str">
        <f>IFERROR(INDEX(tbl_Produk[NAMA PRODUK],MATCH(tblDetailHPP[[#This Row],[KODE PRODUK]],tbl_Produk[KODE PRODUK],0)),"")</f>
        <v>AYAM GEPREK S. IJO</v>
      </c>
      <c r="C63" s="34" t="s">
        <v>354</v>
      </c>
      <c r="D63" s="34" t="s">
        <v>122</v>
      </c>
      <c r="E63" s="34" t="str">
        <f>IF(tblDetailHPP[[#This Row],[KODE KOMPONEN]]="","",IFERROR(INDEX(tbl_BahanBaku[KATEGORI HPP],MATCH(tblDetailHPP[[#This Row],[KODE KOMPONEN]],tbl_BahanBaku[KODE KOMPONEN],0)),""))</f>
        <v>BUMBU &amp; PELENGKAP</v>
      </c>
      <c r="F63" s="34" t="str">
        <f>IF(tblDetailHPP[[#This Row],[KODE KOMPONEN]]="","",IFERROR(INDEX(tbl_BahanBaku[NAMA KOMPONEN],MATCH(tblDetailHPP[[#This Row],[KODE KOMPONEN]],tbl_BahanBaku[KODE KOMPONEN],0)),""))</f>
        <v>CABAI HIJAU BESAR</v>
      </c>
      <c r="G63" s="88">
        <v>28.6</v>
      </c>
      <c r="H63" s="34" t="s">
        <v>5</v>
      </c>
      <c r="I63" s="89">
        <f>IF(tblDetailHPP[[#This Row],[KODE KOMPONEN]]="","",IFERROR(INDEX(tbl_BahanBaku[HARGA PER SATUAN DASAR],MATCH(tblDetailHPP[[#This Row],[KODE KOMPONEN]],tbl_BahanBaku[KODE KOMPONEN],0)),""))</f>
        <v>30</v>
      </c>
      <c r="J63" s="89">
        <f>IF(tblDetailHPP[[#This Row],[KODE KOMPONEN]]="","",IF(tblDetailHPP[[#This Row],[STATUS HARGA]]="OK",ROUND(tblDetailHPP[[#This Row],[QTY PAKAI]]*tblDetailHPP[[#This Row],[HARGA PER SATUAN DASAR]],2),""))</f>
        <v>858</v>
      </c>
      <c r="K6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63" s="34">
        <f>IF(tblDetailHPP[[#This Row],[KODE PRODUK]]="",0,IFERROR(INDEX('PENJUALAN (QTY)'!$AH$3:$AH$500,MATCH(tblDetailHPP[[#This Row],[KODE PRODUK]],'PENJUALAN (QTY)'!$A$3:$A$500,0)),0))</f>
        <v>0</v>
      </c>
      <c r="M6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64" spans="1:13">
      <c r="A64" s="34" t="s">
        <v>183</v>
      </c>
      <c r="B64" s="34" t="str">
        <f>IFERROR(INDEX(tbl_Produk[NAMA PRODUK],MATCH(tblDetailHPP[[#This Row],[KODE PRODUK]],tbl_Produk[KODE PRODUK],0)),"")</f>
        <v>AYAM GEPREK S. IJO</v>
      </c>
      <c r="C64" s="34" t="s">
        <v>354</v>
      </c>
      <c r="D64" s="34" t="s">
        <v>124</v>
      </c>
      <c r="E64" s="34" t="str">
        <f>IF(tblDetailHPP[[#This Row],[KODE KOMPONEN]]="","",IFERROR(INDEX(tbl_BahanBaku[KATEGORI HPP],MATCH(tblDetailHPP[[#This Row],[KODE KOMPONEN]],tbl_BahanBaku[KODE KOMPONEN],0)),""))</f>
        <v>BUMBU &amp; PELENGKAP</v>
      </c>
      <c r="F64" s="34" t="str">
        <f>IF(tblDetailHPP[[#This Row],[KODE KOMPONEN]]="","",IFERROR(INDEX(tbl_BahanBaku[NAMA KOMPONEN],MATCH(tblDetailHPP[[#This Row],[KODE KOMPONEN]],tbl_BahanBaku[KODE KOMPONEN],0)),""))</f>
        <v>CABAI LALAP</v>
      </c>
      <c r="G64" s="88">
        <v>15.4</v>
      </c>
      <c r="H64" s="34" t="s">
        <v>5</v>
      </c>
      <c r="I64" s="89">
        <f>IF(tblDetailHPP[[#This Row],[KODE KOMPONEN]]="","",IFERROR(INDEX(tbl_BahanBaku[HARGA PER SATUAN DASAR],MATCH(tblDetailHPP[[#This Row],[KODE KOMPONEN]],tbl_BahanBaku[KODE KOMPONEN],0)),""))</f>
        <v>40</v>
      </c>
      <c r="J64" s="89">
        <f>IF(tblDetailHPP[[#This Row],[KODE KOMPONEN]]="","",IF(tblDetailHPP[[#This Row],[STATUS HARGA]]="OK",ROUND(tblDetailHPP[[#This Row],[QTY PAKAI]]*tblDetailHPP[[#This Row],[HARGA PER SATUAN DASAR]],2),""))</f>
        <v>616</v>
      </c>
      <c r="K6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64" s="34">
        <f>IF(tblDetailHPP[[#This Row],[KODE PRODUK]]="",0,IFERROR(INDEX('PENJUALAN (QTY)'!$AH$3:$AH$500,MATCH(tblDetailHPP[[#This Row],[KODE PRODUK]],'PENJUALAN (QTY)'!$A$3:$A$500,0)),0))</f>
        <v>0</v>
      </c>
      <c r="M6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65" spans="1:13">
      <c r="A65" s="34" t="s">
        <v>183</v>
      </c>
      <c r="B65" s="34" t="str">
        <f>IFERROR(INDEX(tbl_Produk[NAMA PRODUK],MATCH(tblDetailHPP[[#This Row],[KODE PRODUK]],tbl_Produk[KODE PRODUK],0)),"")</f>
        <v>AYAM GEPREK S. IJO</v>
      </c>
      <c r="C65" s="34" t="s">
        <v>354</v>
      </c>
      <c r="D65" s="34" t="s">
        <v>129</v>
      </c>
      <c r="E65" s="34" t="str">
        <f>IF(tblDetailHPP[[#This Row],[KODE KOMPONEN]]="","",IFERROR(INDEX(tbl_BahanBaku[KATEGORI HPP],MATCH(tblDetailHPP[[#This Row],[KODE KOMPONEN]],tbl_BahanBaku[KODE KOMPONEN],0)),""))</f>
        <v>KEMASAN &amp; SUPPLIES</v>
      </c>
      <c r="F65" s="34" t="str">
        <f>IF(tblDetailHPP[[#This Row],[KODE KOMPONEN]]="","",IFERROR(INDEX(tbl_BahanBaku[NAMA KOMPONEN],MATCH(tblDetailHPP[[#This Row],[KODE KOMPONEN]],tbl_BahanBaku[KODE KOMPONEN],0)),""))</f>
        <v>CUP 35 ML</v>
      </c>
      <c r="G65" s="88">
        <v>1</v>
      </c>
      <c r="H65" s="34" t="s">
        <v>4</v>
      </c>
      <c r="I65" s="89">
        <f>IF(tblDetailHPP[[#This Row],[KODE KOMPONEN]]="","",IFERROR(INDEX(tbl_BahanBaku[HARGA PER SATUAN DASAR],MATCH(tblDetailHPP[[#This Row],[KODE KOMPONEN]],tbl_BahanBaku[KODE KOMPONEN],0)),""))</f>
        <v>220</v>
      </c>
      <c r="J65" s="89">
        <f>IF(tblDetailHPP[[#This Row],[KODE KOMPONEN]]="","",IF(tblDetailHPP[[#This Row],[STATUS HARGA]]="OK",ROUND(tblDetailHPP[[#This Row],[QTY PAKAI]]*tblDetailHPP[[#This Row],[HARGA PER SATUAN DASAR]],2),""))</f>
        <v>220</v>
      </c>
      <c r="K6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65" s="34">
        <f>IF(tblDetailHPP[[#This Row],[KODE PRODUK]]="",0,IFERROR(INDEX('PENJUALAN (QTY)'!$AH$3:$AH$500,MATCH(tblDetailHPP[[#This Row],[KODE PRODUK]],'PENJUALAN (QTY)'!$A$3:$A$500,0)),0))</f>
        <v>0</v>
      </c>
      <c r="M6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66" spans="1:13">
      <c r="A66" s="34" t="s">
        <v>183</v>
      </c>
      <c r="B66" s="34" t="str">
        <f>IFERROR(INDEX(tbl_Produk[NAMA PRODUK],MATCH(tblDetailHPP[[#This Row],[KODE PRODUK]],tbl_Produk[KODE PRODUK],0)),"")</f>
        <v>AYAM GEPREK S. IJO</v>
      </c>
      <c r="C66" s="34" t="s">
        <v>354</v>
      </c>
      <c r="D66" s="34" t="s">
        <v>220</v>
      </c>
      <c r="E66" s="34" t="str">
        <f>IF(tblDetailHPP[[#This Row],[KODE KOMPONEN]]="","",IFERROR(INDEX(tbl_BahanBaku[KATEGORI HPP],MATCH(tblDetailHPP[[#This Row],[KODE KOMPONEN]],tbl_BahanBaku[KODE KOMPONEN],0)),""))</f>
        <v>BUMBU &amp; PELENGKAP</v>
      </c>
      <c r="F66" s="34" t="str">
        <f>IF(tblDetailHPP[[#This Row],[KODE KOMPONEN]]="","",IFERROR(INDEX(tbl_BahanBaku[NAMA KOMPONEN],MATCH(tblDetailHPP[[#This Row],[KODE KOMPONEN]],tbl_BahanBaku[KODE KOMPONEN],0)),""))</f>
        <v>DAUN JERUK</v>
      </c>
      <c r="G66" s="88">
        <v>1</v>
      </c>
      <c r="H66" s="34" t="s">
        <v>110</v>
      </c>
      <c r="I66" s="89">
        <f>IF(tblDetailHPP[[#This Row],[KODE KOMPONEN]]="","",IFERROR(INDEX(tbl_BahanBaku[HARGA PER SATUAN DASAR],MATCH(tblDetailHPP[[#This Row],[KODE KOMPONEN]],tbl_BahanBaku[KODE KOMPONEN],0)),""))</f>
        <v>40</v>
      </c>
      <c r="J66" s="89">
        <f>IF(tblDetailHPP[[#This Row],[KODE KOMPONEN]]="","",IF(tblDetailHPP[[#This Row],[STATUS HARGA]]="OK",ROUND(tblDetailHPP[[#This Row],[QTY PAKAI]]*tblDetailHPP[[#This Row],[HARGA PER SATUAN DASAR]],2),""))</f>
        <v>40</v>
      </c>
      <c r="K6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66" s="34">
        <f>IF(tblDetailHPP[[#This Row],[KODE PRODUK]]="",0,IFERROR(INDEX('PENJUALAN (QTY)'!$AH$3:$AH$500,MATCH(tblDetailHPP[[#This Row],[KODE PRODUK]],'PENJUALAN (QTY)'!$A$3:$A$500,0)),0))</f>
        <v>0</v>
      </c>
      <c r="M6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67" spans="1:13">
      <c r="A67" s="34" t="s">
        <v>183</v>
      </c>
      <c r="B67" s="34" t="str">
        <f>IFERROR(INDEX(tbl_Produk[NAMA PRODUK],MATCH(tblDetailHPP[[#This Row],[KODE PRODUK]],tbl_Produk[KODE PRODUK],0)),"")</f>
        <v>AYAM GEPREK S. IJO</v>
      </c>
      <c r="C67" s="34" t="s">
        <v>354</v>
      </c>
      <c r="D67" s="34" t="s">
        <v>142</v>
      </c>
      <c r="E67" s="34" t="str">
        <f>IF(tblDetailHPP[[#This Row],[KODE KOMPONEN]]="","",IFERROR(INDEX(tbl_BahanBaku[KATEGORI HPP],MATCH(tblDetailHPP[[#This Row],[KODE KOMPONEN]],tbl_BahanBaku[KODE KOMPONEN],0)),""))</f>
        <v>OVERHEAD / OPERASIONAL</v>
      </c>
      <c r="F67" s="34" t="str">
        <f>IF(tblDetailHPP[[#This Row],[KODE KOMPONEN]]="","",IFERROR(INDEX(tbl_BahanBaku[NAMA KOMPONEN],MATCH(tblDetailHPP[[#This Row],[KODE KOMPONEN]],tbl_BahanBaku[KODE KOMPONEN],0)),""))</f>
        <v>KERTAS PRINTER</v>
      </c>
      <c r="G67" s="88">
        <v>15</v>
      </c>
      <c r="H67" s="34" t="s">
        <v>222</v>
      </c>
      <c r="I67" s="89">
        <f>IF(tblDetailHPP[[#This Row],[KODE KOMPONEN]]="","",IFERROR(INDEX(tbl_BahanBaku[HARGA PER SATUAN DASAR],MATCH(tblDetailHPP[[#This Row],[KODE KOMPONEN]],tbl_BahanBaku[KODE KOMPONEN],0)),""))</f>
        <v>5</v>
      </c>
      <c r="J67" s="89">
        <f>IF(tblDetailHPP[[#This Row],[KODE KOMPONEN]]="","",IF(tblDetailHPP[[#This Row],[STATUS HARGA]]="OK",ROUND(tblDetailHPP[[#This Row],[QTY PAKAI]]*tblDetailHPP[[#This Row],[HARGA PER SATUAN DASAR]],2),""))</f>
        <v>75</v>
      </c>
      <c r="K6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67" s="34">
        <f>IF(tblDetailHPP[[#This Row],[KODE PRODUK]]="",0,IFERROR(INDEX('PENJUALAN (QTY)'!$AH$3:$AH$500,MATCH(tblDetailHPP[[#This Row],[KODE PRODUK]],'PENJUALAN (QTY)'!$A$3:$A$500,0)),0))</f>
        <v>0</v>
      </c>
      <c r="M6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68" spans="1:13">
      <c r="A68" s="34" t="s">
        <v>183</v>
      </c>
      <c r="B68" s="34" t="str">
        <f>IFERROR(INDEX(tbl_Produk[NAMA PRODUK],MATCH(tblDetailHPP[[#This Row],[KODE PRODUK]],tbl_Produk[KODE PRODUK],0)),"")</f>
        <v>AYAM GEPREK S. IJO</v>
      </c>
      <c r="C68" s="34" t="s">
        <v>354</v>
      </c>
      <c r="D68" s="34" t="s">
        <v>143</v>
      </c>
      <c r="E68" s="34" t="str">
        <f>IF(tblDetailHPP[[#This Row],[KODE KOMPONEN]]="","",IFERROR(INDEX(tbl_BahanBaku[KATEGORI HPP],MATCH(tblDetailHPP[[#This Row],[KODE KOMPONEN]],tbl_BahanBaku[KODE KOMPONEN],0)),""))</f>
        <v>OVERHEAD / OPERASIONAL</v>
      </c>
      <c r="F68" s="34" t="str">
        <f>IF(tblDetailHPP[[#This Row],[KODE KOMPONEN]]="","",IFERROR(INDEX(tbl_BahanBaku[NAMA KOMPONEN],MATCH(tblDetailHPP[[#This Row],[KODE KOMPONEN]],tbl_BahanBaku[KODE KOMPONEN],0)),""))</f>
        <v>LPG 3KG</v>
      </c>
      <c r="G68" s="88">
        <v>13</v>
      </c>
      <c r="H68" s="34" t="s">
        <v>5</v>
      </c>
      <c r="I68" s="89">
        <f>IF(tblDetailHPP[[#This Row],[KODE KOMPONEN]]="","",IFERROR(INDEX(tbl_BahanBaku[HARGA PER SATUAN DASAR],MATCH(tblDetailHPP[[#This Row],[KODE KOMPONEN]],tbl_BahanBaku[KODE KOMPONEN],0)),""))</f>
        <v>7.666666666666667</v>
      </c>
      <c r="J68" s="89">
        <f>IF(tblDetailHPP[[#This Row],[KODE KOMPONEN]]="","",IF(tblDetailHPP[[#This Row],[STATUS HARGA]]="OK",ROUND(tblDetailHPP[[#This Row],[QTY PAKAI]]*tblDetailHPP[[#This Row],[HARGA PER SATUAN DASAR]],2),""))</f>
        <v>99.67</v>
      </c>
      <c r="K6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68" s="34">
        <f>IF(tblDetailHPP[[#This Row],[KODE PRODUK]]="",0,IFERROR(INDEX('PENJUALAN (QTY)'!$AH$3:$AH$500,MATCH(tblDetailHPP[[#This Row],[KODE PRODUK]],'PENJUALAN (QTY)'!$A$3:$A$500,0)),0))</f>
        <v>0</v>
      </c>
      <c r="M6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69" spans="1:13">
      <c r="A69" s="34" t="s">
        <v>183</v>
      </c>
      <c r="B69" s="34" t="str">
        <f>IFERROR(INDEX(tbl_Produk[NAMA PRODUK],MATCH(tblDetailHPP[[#This Row],[KODE PRODUK]],tbl_Produk[KODE PRODUK],0)),"")</f>
        <v>AYAM GEPREK S. IJO</v>
      </c>
      <c r="C69" s="34" t="s">
        <v>354</v>
      </c>
      <c r="D69" s="34" t="s">
        <v>146</v>
      </c>
      <c r="E69" s="34" t="str">
        <f>IF(tblDetailHPP[[#This Row],[KODE KOMPONEN]]="","",IFERROR(INDEX(tbl_BahanBaku[KATEGORI HPP],MATCH(tblDetailHPP[[#This Row],[KODE KOMPONEN]],tbl_BahanBaku[KODE KOMPONEN],0)),""))</f>
        <v>KEMASAN &amp; SUPPLIES</v>
      </c>
      <c r="F69" s="34" t="str">
        <f>IF(tblDetailHPP[[#This Row],[KODE KOMPONEN]]="","",IFERROR(INDEX(tbl_BahanBaku[NAMA KOMPONEN],MATCH(tblDetailHPP[[#This Row],[KODE KOMPONEN]],tbl_BahanBaku[KODE KOMPONEN],0)),""))</f>
        <v>LUNCHBOX S</v>
      </c>
      <c r="G69" s="88">
        <v>1</v>
      </c>
      <c r="H69" s="34" t="s">
        <v>4</v>
      </c>
      <c r="I69" s="89">
        <f>IF(tblDetailHPP[[#This Row],[KODE KOMPONEN]]="","",IFERROR(INDEX(tbl_BahanBaku[HARGA PER SATUAN DASAR],MATCH(tblDetailHPP[[#This Row],[KODE KOMPONEN]],tbl_BahanBaku[KODE KOMPONEN],0)),""))</f>
        <v>450</v>
      </c>
      <c r="J69" s="89">
        <f>IF(tblDetailHPP[[#This Row],[KODE KOMPONEN]]="","",IF(tblDetailHPP[[#This Row],[STATUS HARGA]]="OK",ROUND(tblDetailHPP[[#This Row],[QTY PAKAI]]*tblDetailHPP[[#This Row],[HARGA PER SATUAN DASAR]],2),""))</f>
        <v>450</v>
      </c>
      <c r="K6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69" s="34">
        <f>IF(tblDetailHPP[[#This Row],[KODE PRODUK]]="",0,IFERROR(INDEX('PENJUALAN (QTY)'!$AH$3:$AH$500,MATCH(tblDetailHPP[[#This Row],[KODE PRODUK]],'PENJUALAN (QTY)'!$A$3:$A$500,0)),0))</f>
        <v>0</v>
      </c>
      <c r="M6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70" spans="1:13">
      <c r="A70" s="34" t="s">
        <v>183</v>
      </c>
      <c r="B70" s="34" t="str">
        <f>IFERROR(INDEX(tbl_Produk[NAMA PRODUK],MATCH(tblDetailHPP[[#This Row],[KODE PRODUK]],tbl_Produk[KODE PRODUK],0)),"")</f>
        <v>AYAM GEPREK S. IJO</v>
      </c>
      <c r="C70" s="34" t="s">
        <v>354</v>
      </c>
      <c r="D70" s="34" t="s">
        <v>150</v>
      </c>
      <c r="E70" s="34" t="str">
        <f>IF(tblDetailHPP[[#This Row],[KODE KOMPONEN]]="","",IFERROR(INDEX(tbl_BahanBaku[KATEGORI HPP],MATCH(tblDetailHPP[[#This Row],[KODE KOMPONEN]],tbl_BahanBaku[KODE KOMPONEN],0)),""))</f>
        <v>BUMBU &amp; PELENGKAP</v>
      </c>
      <c r="F70" s="34" t="str">
        <f>IF(tblDetailHPP[[#This Row],[KODE KOMPONEN]]="","",IFERROR(INDEX(tbl_BahanBaku[NAMA KOMPONEN],MATCH(tblDetailHPP[[#This Row],[KODE KOMPONEN]],tbl_BahanBaku[KODE KOMPONEN],0)),""))</f>
        <v>MINYAK</v>
      </c>
      <c r="G70" s="88">
        <v>60</v>
      </c>
      <c r="H70" s="34" t="s">
        <v>6</v>
      </c>
      <c r="I70" s="89">
        <f>IF(tblDetailHPP[[#This Row],[KODE KOMPONEN]]="","",IFERROR(INDEX(tbl_BahanBaku[HARGA PER SATUAN DASAR],MATCH(tblDetailHPP[[#This Row],[KODE KOMPONEN]],tbl_BahanBaku[KODE KOMPONEN],0)),""))</f>
        <v>23</v>
      </c>
      <c r="J70" s="89">
        <f>IF(tblDetailHPP[[#This Row],[KODE KOMPONEN]]="","",IF(tblDetailHPP[[#This Row],[STATUS HARGA]]="OK",ROUND(tblDetailHPP[[#This Row],[QTY PAKAI]]*tblDetailHPP[[#This Row],[HARGA PER SATUAN DASAR]],2),""))</f>
        <v>1380</v>
      </c>
      <c r="K7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70" s="34">
        <f>IF(tblDetailHPP[[#This Row],[KODE PRODUK]]="",0,IFERROR(INDEX('PENJUALAN (QTY)'!$AH$3:$AH$500,MATCH(tblDetailHPP[[#This Row],[KODE PRODUK]],'PENJUALAN (QTY)'!$A$3:$A$500,0)),0))</f>
        <v>0</v>
      </c>
      <c r="M7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71" spans="1:13">
      <c r="A71" s="34" t="s">
        <v>183</v>
      </c>
      <c r="B71" s="34" t="str">
        <f>IFERROR(INDEX(tbl_Produk[NAMA PRODUK],MATCH(tblDetailHPP[[#This Row],[KODE PRODUK]],tbl_Produk[KODE PRODUK],0)),"")</f>
        <v>AYAM GEPREK S. IJO</v>
      </c>
      <c r="C71" s="34" t="s">
        <v>354</v>
      </c>
      <c r="D71" s="34" t="s">
        <v>158</v>
      </c>
      <c r="E71" s="34" t="str">
        <f>IF(tblDetailHPP[[#This Row],[KODE KOMPONEN]]="","",IFERROR(INDEX(tbl_BahanBaku[KATEGORI HPP],MATCH(tblDetailHPP[[#This Row],[KODE KOMPONEN]],tbl_BahanBaku[KODE KOMPONEN],0)),""))</f>
        <v>KEMASAN &amp; SUPPLIES</v>
      </c>
      <c r="F71" s="34" t="str">
        <f>IF(tblDetailHPP[[#This Row],[KODE KOMPONEN]]="","",IFERROR(INDEX(tbl_BahanBaku[NAMA KOMPONEN],MATCH(tblDetailHPP[[#This Row],[KODE KOMPONEN]],tbl_BahanBaku[KODE KOMPONEN],0)),""))</f>
        <v>PLASTIK UK. 15</v>
      </c>
      <c r="G71" s="88">
        <v>1</v>
      </c>
      <c r="H71" s="34" t="s">
        <v>4</v>
      </c>
      <c r="I71" s="89">
        <f>IF(tblDetailHPP[[#This Row],[KODE KOMPONEN]]="","",IFERROR(INDEX(tbl_BahanBaku[HARGA PER SATUAN DASAR],MATCH(tblDetailHPP[[#This Row],[KODE KOMPONEN]],tbl_BahanBaku[KODE KOMPONEN],0)),""))</f>
        <v>280</v>
      </c>
      <c r="J71" s="89">
        <f>IF(tblDetailHPP[[#This Row],[KODE KOMPONEN]]="","",IF(tblDetailHPP[[#This Row],[STATUS HARGA]]="OK",ROUND(tblDetailHPP[[#This Row],[QTY PAKAI]]*tblDetailHPP[[#This Row],[HARGA PER SATUAN DASAR]],2),""))</f>
        <v>280</v>
      </c>
      <c r="K7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71" s="34">
        <f>IF(tblDetailHPP[[#This Row],[KODE PRODUK]]="",0,IFERROR(INDEX('PENJUALAN (QTY)'!$AH$3:$AH$500,MATCH(tblDetailHPP[[#This Row],[KODE PRODUK]],'PENJUALAN (QTY)'!$A$3:$A$500,0)),0))</f>
        <v>0</v>
      </c>
      <c r="M7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72" spans="1:13">
      <c r="A72" s="34" t="s">
        <v>183</v>
      </c>
      <c r="B72" s="34" t="str">
        <f>IFERROR(INDEX(tbl_Produk[NAMA PRODUK],MATCH(tblDetailHPP[[#This Row],[KODE PRODUK]],tbl_Produk[KODE PRODUK],0)),"")</f>
        <v>AYAM GEPREK S. IJO</v>
      </c>
      <c r="C72" s="34" t="s">
        <v>354</v>
      </c>
      <c r="D72" s="34" t="s">
        <v>170</v>
      </c>
      <c r="E72" s="34" t="str">
        <f>IF(tblDetailHPP[[#This Row],[KODE KOMPONEN]]="","",IFERROR(INDEX(tbl_BahanBaku[KATEGORI HPP],MATCH(tblDetailHPP[[#This Row],[KODE KOMPONEN]],tbl_BahanBaku[KODE KOMPONEN],0)),""))</f>
        <v>OVERHEAD / OPERASIONAL</v>
      </c>
      <c r="F72" s="34" t="str">
        <f>IF(tblDetailHPP[[#This Row],[KODE KOMPONEN]]="","",IFERROR(INDEX(tbl_BahanBaku[NAMA KOMPONEN],MATCH(tblDetailHPP[[#This Row],[KODE KOMPONEN]],tbl_BahanBaku[KODE KOMPONEN],0)),""))</f>
        <v>STICKER BRANDING</v>
      </c>
      <c r="G72" s="88">
        <v>1</v>
      </c>
      <c r="H72" s="34" t="s">
        <v>4</v>
      </c>
      <c r="I72" s="89">
        <f>IF(tblDetailHPP[[#This Row],[KODE KOMPONEN]]="","",IFERROR(INDEX(tbl_BahanBaku[HARGA PER SATUAN DASAR],MATCH(tblDetailHPP[[#This Row],[KODE KOMPONEN]],tbl_BahanBaku[KODE KOMPONEN],0)),""))</f>
        <v>129.87012987012986</v>
      </c>
      <c r="J72" s="89">
        <f>IF(tblDetailHPP[[#This Row],[KODE KOMPONEN]]="","",IF(tblDetailHPP[[#This Row],[STATUS HARGA]]="OK",ROUND(tblDetailHPP[[#This Row],[QTY PAKAI]]*tblDetailHPP[[#This Row],[HARGA PER SATUAN DASAR]],2),""))</f>
        <v>129.87</v>
      </c>
      <c r="K7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72" s="34">
        <f>IF(tblDetailHPP[[#This Row],[KODE PRODUK]]="",0,IFERROR(INDEX('PENJUALAN (QTY)'!$AH$3:$AH$500,MATCH(tblDetailHPP[[#This Row],[KODE PRODUK]],'PENJUALAN (QTY)'!$A$3:$A$500,0)),0))</f>
        <v>0</v>
      </c>
      <c r="M7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73" spans="1:13">
      <c r="A73" s="34" t="s">
        <v>183</v>
      </c>
      <c r="B73" s="34" t="str">
        <f>IFERROR(INDEX(tbl_Produk[NAMA PRODUK],MATCH(tblDetailHPP[[#This Row],[KODE PRODUK]],tbl_Produk[KODE PRODUK],0)),"")</f>
        <v>AYAM GEPREK S. IJO</v>
      </c>
      <c r="C73" s="34" t="s">
        <v>354</v>
      </c>
      <c r="D73" s="34" t="s">
        <v>174</v>
      </c>
      <c r="E73" s="34" t="str">
        <f>IF(tblDetailHPP[[#This Row],[KODE KOMPONEN]]="","",IFERROR(INDEX(tbl_BahanBaku[KATEGORI HPP],MATCH(tblDetailHPP[[#This Row],[KODE KOMPONEN]],tbl_BahanBaku[KODE KOMPONEN],0)),""))</f>
        <v>BUMBU &amp; PELENGKAP</v>
      </c>
      <c r="F73" s="34" t="str">
        <f>IF(tblDetailHPP[[#This Row],[KODE KOMPONEN]]="","",IFERROR(INDEX(tbl_BahanBaku[NAMA KOMPONEN],MATCH(tblDetailHPP[[#This Row],[KODE KOMPONEN]],tbl_BahanBaku[KODE KOMPONEN],0)),""))</f>
        <v>TEPUNG TERIGU</v>
      </c>
      <c r="G73" s="88">
        <v>125</v>
      </c>
      <c r="H73" s="34" t="s">
        <v>5</v>
      </c>
      <c r="I73" s="89">
        <f>IF(tblDetailHPP[[#This Row],[KODE KOMPONEN]]="","",IFERROR(INDEX(tbl_BahanBaku[HARGA PER SATUAN DASAR],MATCH(tblDetailHPP[[#This Row],[KODE KOMPONEN]],tbl_BahanBaku[KODE KOMPONEN],0)),""))</f>
        <v>8</v>
      </c>
      <c r="J73" s="89">
        <f>IF(tblDetailHPP[[#This Row],[KODE KOMPONEN]]="","",IF(tblDetailHPP[[#This Row],[STATUS HARGA]]="OK",ROUND(tblDetailHPP[[#This Row],[QTY PAKAI]]*tblDetailHPP[[#This Row],[HARGA PER SATUAN DASAR]],2),""))</f>
        <v>1000</v>
      </c>
      <c r="K7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73" s="34">
        <f>IF(tblDetailHPP[[#This Row],[KODE PRODUK]]="",0,IFERROR(INDEX('PENJUALAN (QTY)'!$AH$3:$AH$500,MATCH(tblDetailHPP[[#This Row],[KODE PRODUK]],'PENJUALAN (QTY)'!$A$3:$A$500,0)),0))</f>
        <v>0</v>
      </c>
      <c r="M7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74" spans="1:13">
      <c r="A74" s="34" t="s">
        <v>183</v>
      </c>
      <c r="B74" s="34" t="str">
        <f>IFERROR(INDEX(tbl_Produk[NAMA PRODUK],MATCH(tblDetailHPP[[#This Row],[KODE PRODUK]],tbl_Produk[KODE PRODUK],0)),"")</f>
        <v>AYAM GEPREK S. IJO</v>
      </c>
      <c r="C74" s="34" t="s">
        <v>354</v>
      </c>
      <c r="D74" s="34" t="s">
        <v>175</v>
      </c>
      <c r="E74" s="34" t="str">
        <f>IF(tblDetailHPP[[#This Row],[KODE KOMPONEN]]="","",IFERROR(INDEX(tbl_BahanBaku[KATEGORI HPP],MATCH(tblDetailHPP[[#This Row],[KODE KOMPONEN]],tbl_BahanBaku[KODE KOMPONEN],0)),""))</f>
        <v>BUMBU &amp; PELENGKAP</v>
      </c>
      <c r="F74" s="34" t="str">
        <f>IF(tblDetailHPP[[#This Row],[KODE KOMPONEN]]="","",IFERROR(INDEX(tbl_BahanBaku[NAMA KOMPONEN],MATCH(tblDetailHPP[[#This Row],[KODE KOMPONEN]],tbl_BahanBaku[KODE KOMPONEN],0)),""))</f>
        <v>TIMUN</v>
      </c>
      <c r="G74" s="88">
        <v>20</v>
      </c>
      <c r="H74" s="34" t="s">
        <v>5</v>
      </c>
      <c r="I74" s="89">
        <f>IF(tblDetailHPP[[#This Row],[KODE KOMPONEN]]="","",IFERROR(INDEX(tbl_BahanBaku[HARGA PER SATUAN DASAR],MATCH(tblDetailHPP[[#This Row],[KODE KOMPONEN]],tbl_BahanBaku[KODE KOMPONEN],0)),""))</f>
        <v>15</v>
      </c>
      <c r="J74" s="89">
        <f>IF(tblDetailHPP[[#This Row],[KODE KOMPONEN]]="","",IF(tblDetailHPP[[#This Row],[STATUS HARGA]]="OK",ROUND(tblDetailHPP[[#This Row],[QTY PAKAI]]*tblDetailHPP[[#This Row],[HARGA PER SATUAN DASAR]],2),""))</f>
        <v>300</v>
      </c>
      <c r="K7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74" s="34">
        <f>IF(tblDetailHPP[[#This Row],[KODE PRODUK]]="",0,IFERROR(INDEX('PENJUALAN (QTY)'!$AH$3:$AH$500,MATCH(tblDetailHPP[[#This Row],[KODE PRODUK]],'PENJUALAN (QTY)'!$A$3:$A$500,0)),0))</f>
        <v>0</v>
      </c>
      <c r="M7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75" spans="1:13">
      <c r="A75" s="34" t="s">
        <v>183</v>
      </c>
      <c r="B75" s="34" t="str">
        <f>IFERROR(INDEX(tbl_Produk[NAMA PRODUK],MATCH(tblDetailHPP[[#This Row],[KODE PRODUK]],tbl_Produk[KODE PRODUK],0)),"")</f>
        <v>AYAM GEPREK S. IJO</v>
      </c>
      <c r="C75" s="34" t="s">
        <v>354</v>
      </c>
      <c r="D75" s="34" t="s">
        <v>176</v>
      </c>
      <c r="E75" s="34" t="str">
        <f>IF(tblDetailHPP[[#This Row],[KODE KOMPONEN]]="","",IFERROR(INDEX(tbl_BahanBaku[KATEGORI HPP],MATCH(tblDetailHPP[[#This Row],[KODE KOMPONEN]],tbl_BahanBaku[KODE KOMPONEN],0)),""))</f>
        <v>BUMBU &amp; PELENGKAP</v>
      </c>
      <c r="F75" s="34" t="str">
        <f>IF(tblDetailHPP[[#This Row],[KODE KOMPONEN]]="","",IFERROR(INDEX(tbl_BahanBaku[NAMA KOMPONEN],MATCH(tblDetailHPP[[#This Row],[KODE KOMPONEN]],tbl_BahanBaku[KODE KOMPONEN],0)),""))</f>
        <v>TOMAT</v>
      </c>
      <c r="G75" s="88">
        <v>5</v>
      </c>
      <c r="H75" s="34" t="s">
        <v>5</v>
      </c>
      <c r="I75" s="89">
        <f>IF(tblDetailHPP[[#This Row],[KODE KOMPONEN]]="","",IFERROR(INDEX(tbl_BahanBaku[HARGA PER SATUAN DASAR],MATCH(tblDetailHPP[[#This Row],[KODE KOMPONEN]],tbl_BahanBaku[KODE KOMPONEN],0)),""))</f>
        <v>15</v>
      </c>
      <c r="J75" s="89">
        <f>IF(tblDetailHPP[[#This Row],[KODE KOMPONEN]]="","",IF(tblDetailHPP[[#This Row],[STATUS HARGA]]="OK",ROUND(tblDetailHPP[[#This Row],[QTY PAKAI]]*tblDetailHPP[[#This Row],[HARGA PER SATUAN DASAR]],2),""))</f>
        <v>75</v>
      </c>
      <c r="K7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75" s="34">
        <f>IF(tblDetailHPP[[#This Row],[KODE PRODUK]]="",0,IFERROR(INDEX('PENJUALAN (QTY)'!$AH$3:$AH$500,MATCH(tblDetailHPP[[#This Row],[KODE PRODUK]],'PENJUALAN (QTY)'!$A$3:$A$500,0)),0))</f>
        <v>0</v>
      </c>
      <c r="M7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76" spans="1:13">
      <c r="A76" s="34" t="s">
        <v>184</v>
      </c>
      <c r="B76" s="34" t="str">
        <f>IFERROR(INDEX(tbl_Produk[NAMA PRODUK],MATCH(tblDetailHPP[[#This Row],[KODE PRODUK]],tbl_Produk[KODE PRODUK],0)),"")</f>
        <v>AYAM GEPREK S. IJO + NASI</v>
      </c>
      <c r="C76" s="34" t="s">
        <v>354</v>
      </c>
      <c r="D76" s="34" t="s">
        <v>114</v>
      </c>
      <c r="E76" s="34" t="str">
        <f>IF(tblDetailHPP[[#This Row],[KODE KOMPONEN]]="","",IFERROR(INDEX(tbl_BahanBaku[KATEGORI HPP],MATCH(tblDetailHPP[[#This Row],[KODE KOMPONEN]],tbl_BahanBaku[KODE KOMPONEN],0)),""))</f>
        <v>BAHAN UTAMA</v>
      </c>
      <c r="F76" s="34" t="str">
        <f>IF(tblDetailHPP[[#This Row],[KODE KOMPONEN]]="","",IFERROR(INDEX(tbl_BahanBaku[NAMA KOMPONEN],MATCH(tblDetailHPP[[#This Row],[KODE KOMPONEN]],tbl_BahanBaku[KODE KOMPONEN],0)),""))</f>
        <v>AYAM POTONG</v>
      </c>
      <c r="G76" s="88">
        <v>83.3</v>
      </c>
      <c r="H76" s="34" t="s">
        <v>5</v>
      </c>
      <c r="I76" s="89">
        <f>IF(tblDetailHPP[[#This Row],[KODE KOMPONEN]]="","",IFERROR(INDEX(tbl_BahanBaku[HARGA PER SATUAN DASAR],MATCH(tblDetailHPP[[#This Row],[KODE KOMPONEN]],tbl_BahanBaku[KODE KOMPONEN],0)),""))</f>
        <v>26.5</v>
      </c>
      <c r="J76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7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76" s="34">
        <f>IF(tblDetailHPP[[#This Row],[KODE PRODUK]]="",0,IFERROR(INDEX('PENJUALAN (QTY)'!$AH$3:$AH$500,MATCH(tblDetailHPP[[#This Row],[KODE PRODUK]],'PENJUALAN (QTY)'!$A$3:$A$500,0)),0))</f>
        <v>0</v>
      </c>
      <c r="M7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77" spans="1:13">
      <c r="A77" s="34" t="s">
        <v>184</v>
      </c>
      <c r="B77" s="34" t="str">
        <f>IFERROR(INDEX(tbl_Produk[NAMA PRODUK],MATCH(tblDetailHPP[[#This Row],[KODE PRODUK]],tbl_Produk[KODE PRODUK],0)),"")</f>
        <v>AYAM GEPREK S. IJO + NASI</v>
      </c>
      <c r="C77" s="34" t="s">
        <v>354</v>
      </c>
      <c r="D77" s="34" t="s">
        <v>118</v>
      </c>
      <c r="E77" s="34" t="str">
        <f>IF(tblDetailHPP[[#This Row],[KODE KOMPONEN]]="","",IFERROR(INDEX(tbl_BahanBaku[KATEGORI HPP],MATCH(tblDetailHPP[[#This Row],[KODE KOMPONEN]],tbl_BahanBaku[KODE KOMPONEN],0)),""))</f>
        <v>BUMBU &amp; PELENGKAP</v>
      </c>
      <c r="F77" s="34" t="str">
        <f>IF(tblDetailHPP[[#This Row],[KODE KOMPONEN]]="","",IFERROR(INDEX(tbl_BahanBaku[NAMA KOMPONEN],MATCH(tblDetailHPP[[#This Row],[KODE KOMPONEN]],tbl_BahanBaku[KODE KOMPONEN],0)),""))</f>
        <v>BAWANG MERAH</v>
      </c>
      <c r="G77" s="88">
        <v>1.5</v>
      </c>
      <c r="H77" s="34" t="s">
        <v>5</v>
      </c>
      <c r="I77" s="89">
        <f>IF(tblDetailHPP[[#This Row],[KODE KOMPONEN]]="","",IFERROR(INDEX(tbl_BahanBaku[HARGA PER SATUAN DASAR],MATCH(tblDetailHPP[[#This Row],[KODE KOMPONEN]],tbl_BahanBaku[KODE KOMPONEN],0)),""))</f>
        <v>40</v>
      </c>
      <c r="J77" s="89">
        <f>IF(tblDetailHPP[[#This Row],[KODE KOMPONEN]]="","",IF(tblDetailHPP[[#This Row],[STATUS HARGA]]="OK",ROUND(tblDetailHPP[[#This Row],[QTY PAKAI]]*tblDetailHPP[[#This Row],[HARGA PER SATUAN DASAR]],2),""))</f>
        <v>60</v>
      </c>
      <c r="K7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77" s="34">
        <f>IF(tblDetailHPP[[#This Row],[KODE PRODUK]]="",0,IFERROR(INDEX('PENJUALAN (QTY)'!$AH$3:$AH$500,MATCH(tblDetailHPP[[#This Row],[KODE PRODUK]],'PENJUALAN (QTY)'!$A$3:$A$500,0)),0))</f>
        <v>0</v>
      </c>
      <c r="M7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78" spans="1:13">
      <c r="A78" s="34" t="s">
        <v>184</v>
      </c>
      <c r="B78" s="34" t="str">
        <f>IFERROR(INDEX(tbl_Produk[NAMA PRODUK],MATCH(tblDetailHPP[[#This Row],[KODE PRODUK]],tbl_Produk[KODE PRODUK],0)),"")</f>
        <v>AYAM GEPREK S. IJO + NASI</v>
      </c>
      <c r="C78" s="34" t="s">
        <v>354</v>
      </c>
      <c r="D78" s="34" t="s">
        <v>119</v>
      </c>
      <c r="E78" s="34" t="str">
        <f>IF(tblDetailHPP[[#This Row],[KODE KOMPONEN]]="","",IFERROR(INDEX(tbl_BahanBaku[KATEGORI HPP],MATCH(tblDetailHPP[[#This Row],[KODE KOMPONEN]],tbl_BahanBaku[KODE KOMPONEN],0)),""))</f>
        <v>BUMBU &amp; PELENGKAP</v>
      </c>
      <c r="F78" s="34" t="str">
        <f>IF(tblDetailHPP[[#This Row],[KODE KOMPONEN]]="","",IFERROR(INDEX(tbl_BahanBaku[NAMA KOMPONEN],MATCH(tblDetailHPP[[#This Row],[KODE KOMPONEN]],tbl_BahanBaku[KODE KOMPONEN],0)),""))</f>
        <v>BAWANG PUTIH</v>
      </c>
      <c r="G78" s="88">
        <v>1.5</v>
      </c>
      <c r="H78" s="34" t="s">
        <v>5</v>
      </c>
      <c r="I78" s="89">
        <f>IF(tblDetailHPP[[#This Row],[KODE KOMPONEN]]="","",IFERROR(INDEX(tbl_BahanBaku[HARGA PER SATUAN DASAR],MATCH(tblDetailHPP[[#This Row],[KODE KOMPONEN]],tbl_BahanBaku[KODE KOMPONEN],0)),""))</f>
        <v>40</v>
      </c>
      <c r="J78" s="89">
        <f>IF(tblDetailHPP[[#This Row],[KODE KOMPONEN]]="","",IF(tblDetailHPP[[#This Row],[STATUS HARGA]]="OK",ROUND(tblDetailHPP[[#This Row],[QTY PAKAI]]*tblDetailHPP[[#This Row],[HARGA PER SATUAN DASAR]],2),""))</f>
        <v>60</v>
      </c>
      <c r="K7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78" s="34">
        <f>IF(tblDetailHPP[[#This Row],[KODE PRODUK]]="",0,IFERROR(INDEX('PENJUALAN (QTY)'!$AH$3:$AH$500,MATCH(tblDetailHPP[[#This Row],[KODE PRODUK]],'PENJUALAN (QTY)'!$A$3:$A$500,0)),0))</f>
        <v>0</v>
      </c>
      <c r="M7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79" spans="1:13">
      <c r="A79" s="34" t="s">
        <v>184</v>
      </c>
      <c r="B79" s="34" t="str">
        <f>IFERROR(INDEX(tbl_Produk[NAMA PRODUK],MATCH(tblDetailHPP[[#This Row],[KODE PRODUK]],tbl_Produk[KODE PRODUK],0)),"")</f>
        <v>AYAM GEPREK S. IJO + NASI</v>
      </c>
      <c r="C79" s="34" t="s">
        <v>354</v>
      </c>
      <c r="D79" s="34" t="s">
        <v>120</v>
      </c>
      <c r="E79" s="34" t="str">
        <f>IF(tblDetailHPP[[#This Row],[KODE KOMPONEN]]="","",IFERROR(INDEX(tbl_BahanBaku[KATEGORI HPP],MATCH(tblDetailHPP[[#This Row],[KODE KOMPONEN]],tbl_BahanBaku[KODE KOMPONEN],0)),""))</f>
        <v>BAHAN UTAMA</v>
      </c>
      <c r="F79" s="34" t="str">
        <f>IF(tblDetailHPP[[#This Row],[KODE KOMPONEN]]="","",IFERROR(INDEX(tbl_BahanBaku[NAMA KOMPONEN],MATCH(tblDetailHPP[[#This Row],[KODE KOMPONEN]],tbl_BahanBaku[KODE KOMPONEN],0)),""))</f>
        <v>BERAS</v>
      </c>
      <c r="G79" s="88">
        <v>76.900000000000006</v>
      </c>
      <c r="H79" s="34" t="s">
        <v>5</v>
      </c>
      <c r="I79" s="89">
        <f>IF(tblDetailHPP[[#This Row],[KODE KOMPONEN]]="","",IFERROR(INDEX(tbl_BahanBaku[HARGA PER SATUAN DASAR],MATCH(tblDetailHPP[[#This Row],[KODE KOMPONEN]],tbl_BahanBaku[KODE KOMPONEN],0)),""))</f>
        <v>14</v>
      </c>
      <c r="J79" s="89">
        <f>IF(tblDetailHPP[[#This Row],[KODE KOMPONEN]]="","",IF(tblDetailHPP[[#This Row],[STATUS HARGA]]="OK",ROUND(tblDetailHPP[[#This Row],[QTY PAKAI]]*tblDetailHPP[[#This Row],[HARGA PER SATUAN DASAR]],2),""))</f>
        <v>1076.5999999999999</v>
      </c>
      <c r="K7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79" s="34">
        <f>IF(tblDetailHPP[[#This Row],[KODE PRODUK]]="",0,IFERROR(INDEX('PENJUALAN (QTY)'!$AH$3:$AH$500,MATCH(tblDetailHPP[[#This Row],[KODE PRODUK]],'PENJUALAN (QTY)'!$A$3:$A$500,0)),0))</f>
        <v>0</v>
      </c>
      <c r="M7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80" spans="1:13">
      <c r="A80" s="34" t="s">
        <v>184</v>
      </c>
      <c r="B80" s="34" t="str">
        <f>IFERROR(INDEX(tbl_Produk[NAMA PRODUK],MATCH(tblDetailHPP[[#This Row],[KODE PRODUK]],tbl_Produk[KODE PRODUK],0)),"")</f>
        <v>AYAM GEPREK S. IJO + NASI</v>
      </c>
      <c r="C80" s="34" t="s">
        <v>354</v>
      </c>
      <c r="D80" s="34" t="s">
        <v>121</v>
      </c>
      <c r="E80" s="34" t="str">
        <f>IF(tblDetailHPP[[#This Row],[KODE KOMPONEN]]="","",IFERROR(INDEX(tbl_BahanBaku[KATEGORI HPP],MATCH(tblDetailHPP[[#This Row],[KODE KOMPONEN]],tbl_BahanBaku[KODE KOMPONEN],0)),""))</f>
        <v>BUMBU &amp; PELENGKAP</v>
      </c>
      <c r="F80" s="34" t="str">
        <f>IF(tblDetailHPP[[#This Row],[KODE KOMPONEN]]="","",IFERROR(INDEX(tbl_BahanBaku[NAMA KOMPONEN],MATCH(tblDetailHPP[[#This Row],[KODE KOMPONEN]],tbl_BahanBaku[KODE KOMPONEN],0)),""))</f>
        <v>BUMBU MARINASI</v>
      </c>
      <c r="G80" s="88">
        <v>2.5</v>
      </c>
      <c r="H80" s="34" t="s">
        <v>5</v>
      </c>
      <c r="I80" s="89">
        <f>IF(tblDetailHPP[[#This Row],[KODE KOMPONEN]]="","",IFERROR(INDEX(tbl_BahanBaku[HARGA PER SATUAN DASAR],MATCH(tblDetailHPP[[#This Row],[KODE KOMPONEN]],tbl_BahanBaku[KODE KOMPONEN],0)),""))</f>
        <v>71.666666666666671</v>
      </c>
      <c r="J80" s="89">
        <f>IF(tblDetailHPP[[#This Row],[KODE KOMPONEN]]="","",IF(tblDetailHPP[[#This Row],[STATUS HARGA]]="OK",ROUND(tblDetailHPP[[#This Row],[QTY PAKAI]]*tblDetailHPP[[#This Row],[HARGA PER SATUAN DASAR]],2),""))</f>
        <v>179.17</v>
      </c>
      <c r="K8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80" s="34">
        <f>IF(tblDetailHPP[[#This Row],[KODE PRODUK]]="",0,IFERROR(INDEX('PENJUALAN (QTY)'!$AH$3:$AH$500,MATCH(tblDetailHPP[[#This Row],[KODE PRODUK]],'PENJUALAN (QTY)'!$A$3:$A$500,0)),0))</f>
        <v>0</v>
      </c>
      <c r="M8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81" spans="1:13">
      <c r="A81" s="34" t="s">
        <v>184</v>
      </c>
      <c r="B81" s="34" t="str">
        <f>IFERROR(INDEX(tbl_Produk[NAMA PRODUK],MATCH(tblDetailHPP[[#This Row],[KODE PRODUK]],tbl_Produk[KODE PRODUK],0)),"")</f>
        <v>AYAM GEPREK S. IJO + NASI</v>
      </c>
      <c r="C81" s="34" t="s">
        <v>354</v>
      </c>
      <c r="D81" s="34" t="s">
        <v>122</v>
      </c>
      <c r="E81" s="34" t="str">
        <f>IF(tblDetailHPP[[#This Row],[KODE KOMPONEN]]="","",IFERROR(INDEX(tbl_BahanBaku[KATEGORI HPP],MATCH(tblDetailHPP[[#This Row],[KODE KOMPONEN]],tbl_BahanBaku[KODE KOMPONEN],0)),""))</f>
        <v>BUMBU &amp; PELENGKAP</v>
      </c>
      <c r="F81" s="34" t="str">
        <f>IF(tblDetailHPP[[#This Row],[KODE KOMPONEN]]="","",IFERROR(INDEX(tbl_BahanBaku[NAMA KOMPONEN],MATCH(tblDetailHPP[[#This Row],[KODE KOMPONEN]],tbl_BahanBaku[KODE KOMPONEN],0)),""))</f>
        <v>CABAI HIJAU BESAR</v>
      </c>
      <c r="G81" s="88">
        <v>28.6</v>
      </c>
      <c r="H81" s="34" t="s">
        <v>5</v>
      </c>
      <c r="I81" s="89">
        <f>IF(tblDetailHPP[[#This Row],[KODE KOMPONEN]]="","",IFERROR(INDEX(tbl_BahanBaku[HARGA PER SATUAN DASAR],MATCH(tblDetailHPP[[#This Row],[KODE KOMPONEN]],tbl_BahanBaku[KODE KOMPONEN],0)),""))</f>
        <v>30</v>
      </c>
      <c r="J81" s="89">
        <f>IF(tblDetailHPP[[#This Row],[KODE KOMPONEN]]="","",IF(tblDetailHPP[[#This Row],[STATUS HARGA]]="OK",ROUND(tblDetailHPP[[#This Row],[QTY PAKAI]]*tblDetailHPP[[#This Row],[HARGA PER SATUAN DASAR]],2),""))</f>
        <v>858</v>
      </c>
      <c r="K8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81" s="34">
        <f>IF(tblDetailHPP[[#This Row],[KODE PRODUK]]="",0,IFERROR(INDEX('PENJUALAN (QTY)'!$AH$3:$AH$500,MATCH(tblDetailHPP[[#This Row],[KODE PRODUK]],'PENJUALAN (QTY)'!$A$3:$A$500,0)),0))</f>
        <v>0</v>
      </c>
      <c r="M8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82" spans="1:13">
      <c r="A82" s="34" t="s">
        <v>184</v>
      </c>
      <c r="B82" s="34" t="str">
        <f>IFERROR(INDEX(tbl_Produk[NAMA PRODUK],MATCH(tblDetailHPP[[#This Row],[KODE PRODUK]],tbl_Produk[KODE PRODUK],0)),"")</f>
        <v>AYAM GEPREK S. IJO + NASI</v>
      </c>
      <c r="C82" s="34" t="s">
        <v>354</v>
      </c>
      <c r="D82" s="34" t="s">
        <v>124</v>
      </c>
      <c r="E82" s="34" t="str">
        <f>IF(tblDetailHPP[[#This Row],[KODE KOMPONEN]]="","",IFERROR(INDEX(tbl_BahanBaku[KATEGORI HPP],MATCH(tblDetailHPP[[#This Row],[KODE KOMPONEN]],tbl_BahanBaku[KODE KOMPONEN],0)),""))</f>
        <v>BUMBU &amp; PELENGKAP</v>
      </c>
      <c r="F82" s="34" t="str">
        <f>IF(tblDetailHPP[[#This Row],[KODE KOMPONEN]]="","",IFERROR(INDEX(tbl_BahanBaku[NAMA KOMPONEN],MATCH(tblDetailHPP[[#This Row],[KODE KOMPONEN]],tbl_BahanBaku[KODE KOMPONEN],0)),""))</f>
        <v>CABAI LALAP</v>
      </c>
      <c r="G82" s="88">
        <v>15.4</v>
      </c>
      <c r="H82" s="34" t="s">
        <v>5</v>
      </c>
      <c r="I82" s="89">
        <f>IF(tblDetailHPP[[#This Row],[KODE KOMPONEN]]="","",IFERROR(INDEX(tbl_BahanBaku[HARGA PER SATUAN DASAR],MATCH(tblDetailHPP[[#This Row],[KODE KOMPONEN]],tbl_BahanBaku[KODE KOMPONEN],0)),""))</f>
        <v>40</v>
      </c>
      <c r="J82" s="89">
        <f>IF(tblDetailHPP[[#This Row],[KODE KOMPONEN]]="","",IF(tblDetailHPP[[#This Row],[STATUS HARGA]]="OK",ROUND(tblDetailHPP[[#This Row],[QTY PAKAI]]*tblDetailHPP[[#This Row],[HARGA PER SATUAN DASAR]],2),""))</f>
        <v>616</v>
      </c>
      <c r="K8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82" s="34">
        <f>IF(tblDetailHPP[[#This Row],[KODE PRODUK]]="",0,IFERROR(INDEX('PENJUALAN (QTY)'!$AH$3:$AH$500,MATCH(tblDetailHPP[[#This Row],[KODE PRODUK]],'PENJUALAN (QTY)'!$A$3:$A$500,0)),0))</f>
        <v>0</v>
      </c>
      <c r="M8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83" spans="1:13">
      <c r="A83" s="34" t="s">
        <v>184</v>
      </c>
      <c r="B83" s="34" t="str">
        <f>IFERROR(INDEX(tbl_Produk[NAMA PRODUK],MATCH(tblDetailHPP[[#This Row],[KODE PRODUK]],tbl_Produk[KODE PRODUK],0)),"")</f>
        <v>AYAM GEPREK S. IJO + NASI</v>
      </c>
      <c r="C83" s="34" t="s">
        <v>354</v>
      </c>
      <c r="D83" s="34" t="s">
        <v>129</v>
      </c>
      <c r="E83" s="34" t="str">
        <f>IF(tblDetailHPP[[#This Row],[KODE KOMPONEN]]="","",IFERROR(INDEX(tbl_BahanBaku[KATEGORI HPP],MATCH(tblDetailHPP[[#This Row],[KODE KOMPONEN]],tbl_BahanBaku[KODE KOMPONEN],0)),""))</f>
        <v>KEMASAN &amp; SUPPLIES</v>
      </c>
      <c r="F83" s="34" t="str">
        <f>IF(tblDetailHPP[[#This Row],[KODE KOMPONEN]]="","",IFERROR(INDEX(tbl_BahanBaku[NAMA KOMPONEN],MATCH(tblDetailHPP[[#This Row],[KODE KOMPONEN]],tbl_BahanBaku[KODE KOMPONEN],0)),""))</f>
        <v>CUP 35 ML</v>
      </c>
      <c r="G83" s="88">
        <v>1</v>
      </c>
      <c r="H83" s="34" t="s">
        <v>4</v>
      </c>
      <c r="I83" s="89">
        <f>IF(tblDetailHPP[[#This Row],[KODE KOMPONEN]]="","",IFERROR(INDEX(tbl_BahanBaku[HARGA PER SATUAN DASAR],MATCH(tblDetailHPP[[#This Row],[KODE KOMPONEN]],tbl_BahanBaku[KODE KOMPONEN],0)),""))</f>
        <v>220</v>
      </c>
      <c r="J83" s="89">
        <f>IF(tblDetailHPP[[#This Row],[KODE KOMPONEN]]="","",IF(tblDetailHPP[[#This Row],[STATUS HARGA]]="OK",ROUND(tblDetailHPP[[#This Row],[QTY PAKAI]]*tblDetailHPP[[#This Row],[HARGA PER SATUAN DASAR]],2),""))</f>
        <v>220</v>
      </c>
      <c r="K8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83" s="34">
        <f>IF(tblDetailHPP[[#This Row],[KODE PRODUK]]="",0,IFERROR(INDEX('PENJUALAN (QTY)'!$AH$3:$AH$500,MATCH(tblDetailHPP[[#This Row],[KODE PRODUK]],'PENJUALAN (QTY)'!$A$3:$A$500,0)),0))</f>
        <v>0</v>
      </c>
      <c r="M8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84" spans="1:13">
      <c r="A84" s="34" t="s">
        <v>184</v>
      </c>
      <c r="B84" s="34" t="str">
        <f>IFERROR(INDEX(tbl_Produk[NAMA PRODUK],MATCH(tblDetailHPP[[#This Row],[KODE PRODUK]],tbl_Produk[KODE PRODUK],0)),"")</f>
        <v>AYAM GEPREK S. IJO + NASI</v>
      </c>
      <c r="C84" s="34" t="s">
        <v>354</v>
      </c>
      <c r="D84" s="34" t="s">
        <v>220</v>
      </c>
      <c r="E84" s="34" t="str">
        <f>IF(tblDetailHPP[[#This Row],[KODE KOMPONEN]]="","",IFERROR(INDEX(tbl_BahanBaku[KATEGORI HPP],MATCH(tblDetailHPP[[#This Row],[KODE KOMPONEN]],tbl_BahanBaku[KODE KOMPONEN],0)),""))</f>
        <v>BUMBU &amp; PELENGKAP</v>
      </c>
      <c r="F84" s="34" t="str">
        <f>IF(tblDetailHPP[[#This Row],[KODE KOMPONEN]]="","",IFERROR(INDEX(tbl_BahanBaku[NAMA KOMPONEN],MATCH(tblDetailHPP[[#This Row],[KODE KOMPONEN]],tbl_BahanBaku[KODE KOMPONEN],0)),""))</f>
        <v>DAUN JERUK</v>
      </c>
      <c r="G84" s="88">
        <v>1</v>
      </c>
      <c r="H84" s="34" t="s">
        <v>110</v>
      </c>
      <c r="I84" s="89">
        <f>IF(tblDetailHPP[[#This Row],[KODE KOMPONEN]]="","",IFERROR(INDEX(tbl_BahanBaku[HARGA PER SATUAN DASAR],MATCH(tblDetailHPP[[#This Row],[KODE KOMPONEN]],tbl_BahanBaku[KODE KOMPONEN],0)),""))</f>
        <v>40</v>
      </c>
      <c r="J84" s="89">
        <f>IF(tblDetailHPP[[#This Row],[KODE KOMPONEN]]="","",IF(tblDetailHPP[[#This Row],[STATUS HARGA]]="OK",ROUND(tblDetailHPP[[#This Row],[QTY PAKAI]]*tblDetailHPP[[#This Row],[HARGA PER SATUAN DASAR]],2),""))</f>
        <v>40</v>
      </c>
      <c r="K8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84" s="34">
        <f>IF(tblDetailHPP[[#This Row],[KODE PRODUK]]="",0,IFERROR(INDEX('PENJUALAN (QTY)'!$AH$3:$AH$500,MATCH(tblDetailHPP[[#This Row],[KODE PRODUK]],'PENJUALAN (QTY)'!$A$3:$A$500,0)),0))</f>
        <v>0</v>
      </c>
      <c r="M8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85" spans="1:13">
      <c r="A85" s="34" t="s">
        <v>184</v>
      </c>
      <c r="B85" s="34" t="str">
        <f>IFERROR(INDEX(tbl_Produk[NAMA PRODUK],MATCH(tblDetailHPP[[#This Row],[KODE PRODUK]],tbl_Produk[KODE PRODUK],0)),"")</f>
        <v>AYAM GEPREK S. IJO + NASI</v>
      </c>
      <c r="C85" s="34" t="s">
        <v>354</v>
      </c>
      <c r="D85" s="34" t="s">
        <v>142</v>
      </c>
      <c r="E85" s="34" t="str">
        <f>IF(tblDetailHPP[[#This Row],[KODE KOMPONEN]]="","",IFERROR(INDEX(tbl_BahanBaku[KATEGORI HPP],MATCH(tblDetailHPP[[#This Row],[KODE KOMPONEN]],tbl_BahanBaku[KODE KOMPONEN],0)),""))</f>
        <v>OVERHEAD / OPERASIONAL</v>
      </c>
      <c r="F85" s="34" t="str">
        <f>IF(tblDetailHPP[[#This Row],[KODE KOMPONEN]]="","",IFERROR(INDEX(tbl_BahanBaku[NAMA KOMPONEN],MATCH(tblDetailHPP[[#This Row],[KODE KOMPONEN]],tbl_BahanBaku[KODE KOMPONEN],0)),""))</f>
        <v>KERTAS PRINTER</v>
      </c>
      <c r="G85" s="88">
        <v>15</v>
      </c>
      <c r="H85" s="34" t="s">
        <v>222</v>
      </c>
      <c r="I85" s="89">
        <f>IF(tblDetailHPP[[#This Row],[KODE KOMPONEN]]="","",IFERROR(INDEX(tbl_BahanBaku[HARGA PER SATUAN DASAR],MATCH(tblDetailHPP[[#This Row],[KODE KOMPONEN]],tbl_BahanBaku[KODE KOMPONEN],0)),""))</f>
        <v>5</v>
      </c>
      <c r="J85" s="89">
        <f>IF(tblDetailHPP[[#This Row],[KODE KOMPONEN]]="","",IF(tblDetailHPP[[#This Row],[STATUS HARGA]]="OK",ROUND(tblDetailHPP[[#This Row],[QTY PAKAI]]*tblDetailHPP[[#This Row],[HARGA PER SATUAN DASAR]],2),""))</f>
        <v>75</v>
      </c>
      <c r="K8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85" s="34">
        <f>IF(tblDetailHPP[[#This Row],[KODE PRODUK]]="",0,IFERROR(INDEX('PENJUALAN (QTY)'!$AH$3:$AH$500,MATCH(tblDetailHPP[[#This Row],[KODE PRODUK]],'PENJUALAN (QTY)'!$A$3:$A$500,0)),0))</f>
        <v>0</v>
      </c>
      <c r="M8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86" spans="1:13">
      <c r="A86" s="34" t="s">
        <v>184</v>
      </c>
      <c r="B86" s="34" t="str">
        <f>IFERROR(INDEX(tbl_Produk[NAMA PRODUK],MATCH(tblDetailHPP[[#This Row],[KODE PRODUK]],tbl_Produk[KODE PRODUK],0)),"")</f>
        <v>AYAM GEPREK S. IJO + NASI</v>
      </c>
      <c r="C86" s="34" t="s">
        <v>354</v>
      </c>
      <c r="D86" s="34" t="s">
        <v>143</v>
      </c>
      <c r="E86" s="34" t="str">
        <f>IF(tblDetailHPP[[#This Row],[KODE KOMPONEN]]="","",IFERROR(INDEX(tbl_BahanBaku[KATEGORI HPP],MATCH(tblDetailHPP[[#This Row],[KODE KOMPONEN]],tbl_BahanBaku[KODE KOMPONEN],0)),""))</f>
        <v>OVERHEAD / OPERASIONAL</v>
      </c>
      <c r="F86" s="34" t="str">
        <f>IF(tblDetailHPP[[#This Row],[KODE KOMPONEN]]="","",IFERROR(INDEX(tbl_BahanBaku[NAMA KOMPONEN],MATCH(tblDetailHPP[[#This Row],[KODE KOMPONEN]],tbl_BahanBaku[KODE KOMPONEN],0)),""))</f>
        <v>LPG 3KG</v>
      </c>
      <c r="G86" s="88">
        <v>26</v>
      </c>
      <c r="H86" s="34" t="s">
        <v>5</v>
      </c>
      <c r="I86" s="89">
        <f>IF(tblDetailHPP[[#This Row],[KODE KOMPONEN]]="","",IFERROR(INDEX(tbl_BahanBaku[HARGA PER SATUAN DASAR],MATCH(tblDetailHPP[[#This Row],[KODE KOMPONEN]],tbl_BahanBaku[KODE KOMPONEN],0)),""))</f>
        <v>7.666666666666667</v>
      </c>
      <c r="J86" s="89">
        <f>IF(tblDetailHPP[[#This Row],[KODE KOMPONEN]]="","",IF(tblDetailHPP[[#This Row],[STATUS HARGA]]="OK",ROUND(tblDetailHPP[[#This Row],[QTY PAKAI]]*tblDetailHPP[[#This Row],[HARGA PER SATUAN DASAR]],2),""))</f>
        <v>199.33</v>
      </c>
      <c r="K8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86" s="34">
        <f>IF(tblDetailHPP[[#This Row],[KODE PRODUK]]="",0,IFERROR(INDEX('PENJUALAN (QTY)'!$AH$3:$AH$500,MATCH(tblDetailHPP[[#This Row],[KODE PRODUK]],'PENJUALAN (QTY)'!$A$3:$A$500,0)),0))</f>
        <v>0</v>
      </c>
      <c r="M8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87" spans="1:13">
      <c r="A87" s="34" t="s">
        <v>184</v>
      </c>
      <c r="B87" s="34" t="str">
        <f>IFERROR(INDEX(tbl_Produk[NAMA PRODUK],MATCH(tblDetailHPP[[#This Row],[KODE PRODUK]],tbl_Produk[KODE PRODUK],0)),"")</f>
        <v>AYAM GEPREK S. IJO + NASI</v>
      </c>
      <c r="C87" s="34" t="s">
        <v>354</v>
      </c>
      <c r="D87" s="34" t="s">
        <v>145</v>
      </c>
      <c r="E87" s="34" t="str">
        <f>IF(tblDetailHPP[[#This Row],[KODE KOMPONEN]]="","",IFERROR(INDEX(tbl_BahanBaku[KATEGORI HPP],MATCH(tblDetailHPP[[#This Row],[KODE KOMPONEN]],tbl_BahanBaku[KODE KOMPONEN],0)),""))</f>
        <v>KEMASAN &amp; SUPPLIES</v>
      </c>
      <c r="F87" s="34" t="str">
        <f>IF(tblDetailHPP[[#This Row],[KODE KOMPONEN]]="","",IFERROR(INDEX(tbl_BahanBaku[NAMA KOMPONEN],MATCH(tblDetailHPP[[#This Row],[KODE KOMPONEN]],tbl_BahanBaku[KODE KOMPONEN],0)),""))</f>
        <v>LUNCHBOX M</v>
      </c>
      <c r="G87" s="88">
        <v>1</v>
      </c>
      <c r="H87" s="34" t="s">
        <v>4</v>
      </c>
      <c r="I87" s="89">
        <f>IF(tblDetailHPP[[#This Row],[KODE KOMPONEN]]="","",IFERROR(INDEX(tbl_BahanBaku[HARGA PER SATUAN DASAR],MATCH(tblDetailHPP[[#This Row],[KODE KOMPONEN]],tbl_BahanBaku[KODE KOMPONEN],0)),""))</f>
        <v>550</v>
      </c>
      <c r="J87" s="89">
        <f>IF(tblDetailHPP[[#This Row],[KODE KOMPONEN]]="","",IF(tblDetailHPP[[#This Row],[STATUS HARGA]]="OK",ROUND(tblDetailHPP[[#This Row],[QTY PAKAI]]*tblDetailHPP[[#This Row],[HARGA PER SATUAN DASAR]],2),""))</f>
        <v>550</v>
      </c>
      <c r="K8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87" s="34">
        <f>IF(tblDetailHPP[[#This Row],[KODE PRODUK]]="",0,IFERROR(INDEX('PENJUALAN (QTY)'!$AH$3:$AH$500,MATCH(tblDetailHPP[[#This Row],[KODE PRODUK]],'PENJUALAN (QTY)'!$A$3:$A$500,0)),0))</f>
        <v>0</v>
      </c>
      <c r="M8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88" spans="1:13">
      <c r="A88" s="34" t="s">
        <v>184</v>
      </c>
      <c r="B88" s="34" t="str">
        <f>IFERROR(INDEX(tbl_Produk[NAMA PRODUK],MATCH(tblDetailHPP[[#This Row],[KODE PRODUK]],tbl_Produk[KODE PRODUK],0)),"")</f>
        <v>AYAM GEPREK S. IJO + NASI</v>
      </c>
      <c r="C88" s="34" t="s">
        <v>354</v>
      </c>
      <c r="D88" s="34" t="s">
        <v>150</v>
      </c>
      <c r="E88" s="34" t="str">
        <f>IF(tblDetailHPP[[#This Row],[KODE KOMPONEN]]="","",IFERROR(INDEX(tbl_BahanBaku[KATEGORI HPP],MATCH(tblDetailHPP[[#This Row],[KODE KOMPONEN]],tbl_BahanBaku[KODE KOMPONEN],0)),""))</f>
        <v>BUMBU &amp; PELENGKAP</v>
      </c>
      <c r="F88" s="34" t="str">
        <f>IF(tblDetailHPP[[#This Row],[KODE KOMPONEN]]="","",IFERROR(INDEX(tbl_BahanBaku[NAMA KOMPONEN],MATCH(tblDetailHPP[[#This Row],[KODE KOMPONEN]],tbl_BahanBaku[KODE KOMPONEN],0)),""))</f>
        <v>MINYAK</v>
      </c>
      <c r="G88" s="88">
        <v>60</v>
      </c>
      <c r="H88" s="34" t="s">
        <v>6</v>
      </c>
      <c r="I88" s="89">
        <f>IF(tblDetailHPP[[#This Row],[KODE KOMPONEN]]="","",IFERROR(INDEX(tbl_BahanBaku[HARGA PER SATUAN DASAR],MATCH(tblDetailHPP[[#This Row],[KODE KOMPONEN]],tbl_BahanBaku[KODE KOMPONEN],0)),""))</f>
        <v>23</v>
      </c>
      <c r="J88" s="89">
        <f>IF(tblDetailHPP[[#This Row],[KODE KOMPONEN]]="","",IF(tblDetailHPP[[#This Row],[STATUS HARGA]]="OK",ROUND(tblDetailHPP[[#This Row],[QTY PAKAI]]*tblDetailHPP[[#This Row],[HARGA PER SATUAN DASAR]],2),""))</f>
        <v>1380</v>
      </c>
      <c r="K8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88" s="34">
        <f>IF(tblDetailHPP[[#This Row],[KODE PRODUK]]="",0,IFERROR(INDEX('PENJUALAN (QTY)'!$AH$3:$AH$500,MATCH(tblDetailHPP[[#This Row],[KODE PRODUK]],'PENJUALAN (QTY)'!$A$3:$A$500,0)),0))</f>
        <v>0</v>
      </c>
      <c r="M8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89" spans="1:13">
      <c r="A89" s="34" t="s">
        <v>184</v>
      </c>
      <c r="B89" s="34" t="str">
        <f>IFERROR(INDEX(tbl_Produk[NAMA PRODUK],MATCH(tblDetailHPP[[#This Row],[KODE PRODUK]],tbl_Produk[KODE PRODUK],0)),"")</f>
        <v>AYAM GEPREK S. IJO + NASI</v>
      </c>
      <c r="C89" s="34" t="s">
        <v>354</v>
      </c>
      <c r="D89" s="34" t="s">
        <v>156</v>
      </c>
      <c r="E89" s="34" t="str">
        <f>IF(tblDetailHPP[[#This Row],[KODE KOMPONEN]]="","",IFERROR(INDEX(tbl_BahanBaku[KATEGORI HPP],MATCH(tblDetailHPP[[#This Row],[KODE KOMPONEN]],tbl_BahanBaku[KODE KOMPONEN],0)),""))</f>
        <v>KEMASAN &amp; SUPPLIES</v>
      </c>
      <c r="F89" s="34" t="str">
        <f>IF(tblDetailHPP[[#This Row],[KODE KOMPONEN]]="","",IFERROR(INDEX(tbl_BahanBaku[NAMA KOMPONEN],MATCH(tblDetailHPP[[#This Row],[KODE KOMPONEN]],tbl_BahanBaku[KODE KOMPONEN],0)),""))</f>
        <v>PAPER RICE</v>
      </c>
      <c r="G89" s="88">
        <v>1</v>
      </c>
      <c r="H89" s="34" t="s">
        <v>76</v>
      </c>
      <c r="I89" s="89">
        <f>IF(tblDetailHPP[[#This Row],[KODE KOMPONEN]]="","",IFERROR(INDEX(tbl_BahanBaku[HARGA PER SATUAN DASAR],MATCH(tblDetailHPP[[#This Row],[KODE KOMPONEN]],tbl_BahanBaku[KODE KOMPONEN],0)),""))</f>
        <v>100</v>
      </c>
      <c r="J89" s="89">
        <f>IF(tblDetailHPP[[#This Row],[KODE KOMPONEN]]="","",IF(tblDetailHPP[[#This Row],[STATUS HARGA]]="OK",ROUND(tblDetailHPP[[#This Row],[QTY PAKAI]]*tblDetailHPP[[#This Row],[HARGA PER SATUAN DASAR]],2),""))</f>
        <v>100</v>
      </c>
      <c r="K8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89" s="34">
        <f>IF(tblDetailHPP[[#This Row],[KODE PRODUK]]="",0,IFERROR(INDEX('PENJUALAN (QTY)'!$AH$3:$AH$500,MATCH(tblDetailHPP[[#This Row],[KODE PRODUK]],'PENJUALAN (QTY)'!$A$3:$A$500,0)),0))</f>
        <v>0</v>
      </c>
      <c r="M8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90" spans="1:13">
      <c r="A90" s="34" t="s">
        <v>184</v>
      </c>
      <c r="B90" s="34" t="str">
        <f>IFERROR(INDEX(tbl_Produk[NAMA PRODUK],MATCH(tblDetailHPP[[#This Row],[KODE PRODUK]],tbl_Produk[KODE PRODUK],0)),"")</f>
        <v>AYAM GEPREK S. IJO + NASI</v>
      </c>
      <c r="C90" s="34" t="s">
        <v>354</v>
      </c>
      <c r="D90" s="34" t="s">
        <v>159</v>
      </c>
      <c r="E90" s="34" t="str">
        <f>IF(tblDetailHPP[[#This Row],[KODE KOMPONEN]]="","",IFERROR(INDEX(tbl_BahanBaku[KATEGORI HPP],MATCH(tblDetailHPP[[#This Row],[KODE KOMPONEN]],tbl_BahanBaku[KODE KOMPONEN],0)),""))</f>
        <v>KEMASAN &amp; SUPPLIES</v>
      </c>
      <c r="F90" s="34" t="str">
        <f>IF(tblDetailHPP[[#This Row],[KODE KOMPONEN]]="","",IFERROR(INDEX(tbl_BahanBaku[NAMA KOMPONEN],MATCH(tblDetailHPP[[#This Row],[KODE KOMPONEN]],tbl_BahanBaku[KODE KOMPONEN],0)),""))</f>
        <v>PLASTIK UK. 21</v>
      </c>
      <c r="G90" s="88">
        <v>1</v>
      </c>
      <c r="H90" s="34" t="s">
        <v>4</v>
      </c>
      <c r="I90" s="89">
        <f>IF(tblDetailHPP[[#This Row],[KODE KOMPONEN]]="","",IFERROR(INDEX(tbl_BahanBaku[HARGA PER SATUAN DASAR],MATCH(tblDetailHPP[[#This Row],[KODE KOMPONEN]],tbl_BahanBaku[KODE KOMPONEN],0)),""))</f>
        <v>280</v>
      </c>
      <c r="J90" s="89">
        <f>IF(tblDetailHPP[[#This Row],[KODE KOMPONEN]]="","",IF(tblDetailHPP[[#This Row],[STATUS HARGA]]="OK",ROUND(tblDetailHPP[[#This Row],[QTY PAKAI]]*tblDetailHPP[[#This Row],[HARGA PER SATUAN DASAR]],2),""))</f>
        <v>280</v>
      </c>
      <c r="K9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90" s="34">
        <f>IF(tblDetailHPP[[#This Row],[KODE PRODUK]]="",0,IFERROR(INDEX('PENJUALAN (QTY)'!$AH$3:$AH$500,MATCH(tblDetailHPP[[#This Row],[KODE PRODUK]],'PENJUALAN (QTY)'!$A$3:$A$500,0)),0))</f>
        <v>0</v>
      </c>
      <c r="M9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91" spans="1:13">
      <c r="A91" s="34" t="s">
        <v>184</v>
      </c>
      <c r="B91" s="34" t="str">
        <f>IFERROR(INDEX(tbl_Produk[NAMA PRODUK],MATCH(tblDetailHPP[[#This Row],[KODE PRODUK]],tbl_Produk[KODE PRODUK],0)),"")</f>
        <v>AYAM GEPREK S. IJO + NASI</v>
      </c>
      <c r="C91" s="34" t="s">
        <v>354</v>
      </c>
      <c r="D91" s="34" t="s">
        <v>170</v>
      </c>
      <c r="E91" s="34" t="str">
        <f>IF(tblDetailHPP[[#This Row],[KODE KOMPONEN]]="","",IFERROR(INDEX(tbl_BahanBaku[KATEGORI HPP],MATCH(tblDetailHPP[[#This Row],[KODE KOMPONEN]],tbl_BahanBaku[KODE KOMPONEN],0)),""))</f>
        <v>OVERHEAD / OPERASIONAL</v>
      </c>
      <c r="F91" s="34" t="str">
        <f>IF(tblDetailHPP[[#This Row],[KODE KOMPONEN]]="","",IFERROR(INDEX(tbl_BahanBaku[NAMA KOMPONEN],MATCH(tblDetailHPP[[#This Row],[KODE KOMPONEN]],tbl_BahanBaku[KODE KOMPONEN],0)),""))</f>
        <v>STICKER BRANDING</v>
      </c>
      <c r="G91" s="88">
        <v>1</v>
      </c>
      <c r="H91" s="34" t="s">
        <v>4</v>
      </c>
      <c r="I91" s="89">
        <f>IF(tblDetailHPP[[#This Row],[KODE KOMPONEN]]="","",IFERROR(INDEX(tbl_BahanBaku[HARGA PER SATUAN DASAR],MATCH(tblDetailHPP[[#This Row],[KODE KOMPONEN]],tbl_BahanBaku[KODE KOMPONEN],0)),""))</f>
        <v>129.87012987012986</v>
      </c>
      <c r="J91" s="89">
        <f>IF(tblDetailHPP[[#This Row],[KODE KOMPONEN]]="","",IF(tblDetailHPP[[#This Row],[STATUS HARGA]]="OK",ROUND(tblDetailHPP[[#This Row],[QTY PAKAI]]*tblDetailHPP[[#This Row],[HARGA PER SATUAN DASAR]],2),""))</f>
        <v>129.87</v>
      </c>
      <c r="K9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91" s="34">
        <f>IF(tblDetailHPP[[#This Row],[KODE PRODUK]]="",0,IFERROR(INDEX('PENJUALAN (QTY)'!$AH$3:$AH$500,MATCH(tblDetailHPP[[#This Row],[KODE PRODUK]],'PENJUALAN (QTY)'!$A$3:$A$500,0)),0))</f>
        <v>0</v>
      </c>
      <c r="M9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92" spans="1:13">
      <c r="A92" s="34" t="s">
        <v>184</v>
      </c>
      <c r="B92" s="34" t="str">
        <f>IFERROR(INDEX(tbl_Produk[NAMA PRODUK],MATCH(tblDetailHPP[[#This Row],[KODE PRODUK]],tbl_Produk[KODE PRODUK],0)),"")</f>
        <v>AYAM GEPREK S. IJO + NASI</v>
      </c>
      <c r="C92" s="34" t="s">
        <v>354</v>
      </c>
      <c r="D92" s="34" t="s">
        <v>174</v>
      </c>
      <c r="E92" s="34" t="str">
        <f>IF(tblDetailHPP[[#This Row],[KODE KOMPONEN]]="","",IFERROR(INDEX(tbl_BahanBaku[KATEGORI HPP],MATCH(tblDetailHPP[[#This Row],[KODE KOMPONEN]],tbl_BahanBaku[KODE KOMPONEN],0)),""))</f>
        <v>BUMBU &amp; PELENGKAP</v>
      </c>
      <c r="F92" s="34" t="str">
        <f>IF(tblDetailHPP[[#This Row],[KODE KOMPONEN]]="","",IFERROR(INDEX(tbl_BahanBaku[NAMA KOMPONEN],MATCH(tblDetailHPP[[#This Row],[KODE KOMPONEN]],tbl_BahanBaku[KODE KOMPONEN],0)),""))</f>
        <v>TEPUNG TERIGU</v>
      </c>
      <c r="G92" s="88">
        <v>125</v>
      </c>
      <c r="H92" s="34" t="s">
        <v>5</v>
      </c>
      <c r="I92" s="89">
        <f>IF(tblDetailHPP[[#This Row],[KODE KOMPONEN]]="","",IFERROR(INDEX(tbl_BahanBaku[HARGA PER SATUAN DASAR],MATCH(tblDetailHPP[[#This Row],[KODE KOMPONEN]],tbl_BahanBaku[KODE KOMPONEN],0)),""))</f>
        <v>8</v>
      </c>
      <c r="J92" s="89">
        <f>IF(tblDetailHPP[[#This Row],[KODE KOMPONEN]]="","",IF(tblDetailHPP[[#This Row],[STATUS HARGA]]="OK",ROUND(tblDetailHPP[[#This Row],[QTY PAKAI]]*tblDetailHPP[[#This Row],[HARGA PER SATUAN DASAR]],2),""))</f>
        <v>1000</v>
      </c>
      <c r="K9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92" s="34">
        <f>IF(tblDetailHPP[[#This Row],[KODE PRODUK]]="",0,IFERROR(INDEX('PENJUALAN (QTY)'!$AH$3:$AH$500,MATCH(tblDetailHPP[[#This Row],[KODE PRODUK]],'PENJUALAN (QTY)'!$A$3:$A$500,0)),0))</f>
        <v>0</v>
      </c>
      <c r="M9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93" spans="1:13">
      <c r="A93" s="34" t="s">
        <v>184</v>
      </c>
      <c r="B93" s="34" t="str">
        <f>IFERROR(INDEX(tbl_Produk[NAMA PRODUK],MATCH(tblDetailHPP[[#This Row],[KODE PRODUK]],tbl_Produk[KODE PRODUK],0)),"")</f>
        <v>AYAM GEPREK S. IJO + NASI</v>
      </c>
      <c r="C93" s="34" t="s">
        <v>354</v>
      </c>
      <c r="D93" s="34" t="s">
        <v>175</v>
      </c>
      <c r="E93" s="34" t="str">
        <f>IF(tblDetailHPP[[#This Row],[KODE KOMPONEN]]="","",IFERROR(INDEX(tbl_BahanBaku[KATEGORI HPP],MATCH(tblDetailHPP[[#This Row],[KODE KOMPONEN]],tbl_BahanBaku[KODE KOMPONEN],0)),""))</f>
        <v>BUMBU &amp; PELENGKAP</v>
      </c>
      <c r="F93" s="34" t="str">
        <f>IF(tblDetailHPP[[#This Row],[KODE KOMPONEN]]="","",IFERROR(INDEX(tbl_BahanBaku[NAMA KOMPONEN],MATCH(tblDetailHPP[[#This Row],[KODE KOMPONEN]],tbl_BahanBaku[KODE KOMPONEN],0)),""))</f>
        <v>TIMUN</v>
      </c>
      <c r="G93" s="88">
        <v>20</v>
      </c>
      <c r="H93" s="34" t="s">
        <v>5</v>
      </c>
      <c r="I93" s="89">
        <f>IF(tblDetailHPP[[#This Row],[KODE KOMPONEN]]="","",IFERROR(INDEX(tbl_BahanBaku[HARGA PER SATUAN DASAR],MATCH(tblDetailHPP[[#This Row],[KODE KOMPONEN]],tbl_BahanBaku[KODE KOMPONEN],0)),""))</f>
        <v>15</v>
      </c>
      <c r="J93" s="89">
        <f>IF(tblDetailHPP[[#This Row],[KODE KOMPONEN]]="","",IF(tblDetailHPP[[#This Row],[STATUS HARGA]]="OK",ROUND(tblDetailHPP[[#This Row],[QTY PAKAI]]*tblDetailHPP[[#This Row],[HARGA PER SATUAN DASAR]],2),""))</f>
        <v>300</v>
      </c>
      <c r="K9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93" s="34">
        <f>IF(tblDetailHPP[[#This Row],[KODE PRODUK]]="",0,IFERROR(INDEX('PENJUALAN (QTY)'!$AH$3:$AH$500,MATCH(tblDetailHPP[[#This Row],[KODE PRODUK]],'PENJUALAN (QTY)'!$A$3:$A$500,0)),0))</f>
        <v>0</v>
      </c>
      <c r="M9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94" spans="1:13">
      <c r="A94" s="34" t="s">
        <v>184</v>
      </c>
      <c r="B94" s="34" t="str">
        <f>IFERROR(INDEX(tbl_Produk[NAMA PRODUK],MATCH(tblDetailHPP[[#This Row],[KODE PRODUK]],tbl_Produk[KODE PRODUK],0)),"")</f>
        <v>AYAM GEPREK S. IJO + NASI</v>
      </c>
      <c r="C94" s="34" t="s">
        <v>354</v>
      </c>
      <c r="D94" s="34" t="s">
        <v>176</v>
      </c>
      <c r="E94" s="34" t="str">
        <f>IF(tblDetailHPP[[#This Row],[KODE KOMPONEN]]="","",IFERROR(INDEX(tbl_BahanBaku[KATEGORI HPP],MATCH(tblDetailHPP[[#This Row],[KODE KOMPONEN]],tbl_BahanBaku[KODE KOMPONEN],0)),""))</f>
        <v>BUMBU &amp; PELENGKAP</v>
      </c>
      <c r="F94" s="34" t="str">
        <f>IF(tblDetailHPP[[#This Row],[KODE KOMPONEN]]="","",IFERROR(INDEX(tbl_BahanBaku[NAMA KOMPONEN],MATCH(tblDetailHPP[[#This Row],[KODE KOMPONEN]],tbl_BahanBaku[KODE KOMPONEN],0)),""))</f>
        <v>TOMAT</v>
      </c>
      <c r="G94" s="88">
        <v>5</v>
      </c>
      <c r="H94" s="34" t="s">
        <v>5</v>
      </c>
      <c r="I94" s="89">
        <f>IF(tblDetailHPP[[#This Row],[KODE KOMPONEN]]="","",IFERROR(INDEX(tbl_BahanBaku[HARGA PER SATUAN DASAR],MATCH(tblDetailHPP[[#This Row],[KODE KOMPONEN]],tbl_BahanBaku[KODE KOMPONEN],0)),""))</f>
        <v>15</v>
      </c>
      <c r="J94" s="89">
        <f>IF(tblDetailHPP[[#This Row],[KODE KOMPONEN]]="","",IF(tblDetailHPP[[#This Row],[STATUS HARGA]]="OK",ROUND(tblDetailHPP[[#This Row],[QTY PAKAI]]*tblDetailHPP[[#This Row],[HARGA PER SATUAN DASAR]],2),""))</f>
        <v>75</v>
      </c>
      <c r="K9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94" s="34">
        <f>IF(tblDetailHPP[[#This Row],[KODE PRODUK]]="",0,IFERROR(INDEX('PENJUALAN (QTY)'!$AH$3:$AH$500,MATCH(tblDetailHPP[[#This Row],[KODE PRODUK]],'PENJUALAN (QTY)'!$A$3:$A$500,0)),0))</f>
        <v>0</v>
      </c>
      <c r="M9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95" spans="1:13">
      <c r="A95" s="34" t="s">
        <v>185</v>
      </c>
      <c r="B95" s="34" t="str">
        <f>IFERROR(INDEX(tbl_Produk[NAMA PRODUK],MATCH(tblDetailHPP[[#This Row],[KODE PRODUK]],tbl_Produk[KODE PRODUK],0)),"")</f>
        <v>AYAM GEPREK S. MATAH</v>
      </c>
      <c r="C95" s="34" t="s">
        <v>354</v>
      </c>
      <c r="D95" s="34" t="s">
        <v>114</v>
      </c>
      <c r="E95" s="34" t="str">
        <f>IF(tblDetailHPP[[#This Row],[KODE KOMPONEN]]="","",IFERROR(INDEX(tbl_BahanBaku[KATEGORI HPP],MATCH(tblDetailHPP[[#This Row],[KODE KOMPONEN]],tbl_BahanBaku[KODE KOMPONEN],0)),""))</f>
        <v>BAHAN UTAMA</v>
      </c>
      <c r="F95" s="34" t="str">
        <f>IF(tblDetailHPP[[#This Row],[KODE KOMPONEN]]="","",IFERROR(INDEX(tbl_BahanBaku[NAMA KOMPONEN],MATCH(tblDetailHPP[[#This Row],[KODE KOMPONEN]],tbl_BahanBaku[KODE KOMPONEN],0)),""))</f>
        <v>AYAM POTONG</v>
      </c>
      <c r="G95" s="88">
        <v>83.3</v>
      </c>
      <c r="H95" s="34" t="s">
        <v>5</v>
      </c>
      <c r="I95" s="89">
        <f>IF(tblDetailHPP[[#This Row],[KODE KOMPONEN]]="","",IFERROR(INDEX(tbl_BahanBaku[HARGA PER SATUAN DASAR],MATCH(tblDetailHPP[[#This Row],[KODE KOMPONEN]],tbl_BahanBaku[KODE KOMPONEN],0)),""))</f>
        <v>26.5</v>
      </c>
      <c r="J95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9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95" s="34">
        <f>IF(tblDetailHPP[[#This Row],[KODE PRODUK]]="",0,IFERROR(INDEX('PENJUALAN (QTY)'!$AH$3:$AH$500,MATCH(tblDetailHPP[[#This Row],[KODE PRODUK]],'PENJUALAN (QTY)'!$A$3:$A$500,0)),0))</f>
        <v>0</v>
      </c>
      <c r="M9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96" spans="1:13">
      <c r="A96" s="34" t="s">
        <v>185</v>
      </c>
      <c r="B96" s="34" t="str">
        <f>IFERROR(INDEX(tbl_Produk[NAMA PRODUK],MATCH(tblDetailHPP[[#This Row],[KODE PRODUK]],tbl_Produk[KODE PRODUK],0)),"")</f>
        <v>AYAM GEPREK S. MATAH</v>
      </c>
      <c r="C96" s="34" t="s">
        <v>354</v>
      </c>
      <c r="D96" s="34" t="s">
        <v>118</v>
      </c>
      <c r="E96" s="34" t="str">
        <f>IF(tblDetailHPP[[#This Row],[KODE KOMPONEN]]="","",IFERROR(INDEX(tbl_BahanBaku[KATEGORI HPP],MATCH(tblDetailHPP[[#This Row],[KODE KOMPONEN]],tbl_BahanBaku[KODE KOMPONEN],0)),""))</f>
        <v>BUMBU &amp; PELENGKAP</v>
      </c>
      <c r="F96" s="34" t="str">
        <f>IF(tblDetailHPP[[#This Row],[KODE KOMPONEN]]="","",IFERROR(INDEX(tbl_BahanBaku[NAMA KOMPONEN],MATCH(tblDetailHPP[[#This Row],[KODE KOMPONEN]],tbl_BahanBaku[KODE KOMPONEN],0)),""))</f>
        <v>BAWANG MERAH</v>
      </c>
      <c r="G96" s="88">
        <v>1.5</v>
      </c>
      <c r="H96" s="34" t="s">
        <v>5</v>
      </c>
      <c r="I96" s="89">
        <f>IF(tblDetailHPP[[#This Row],[KODE KOMPONEN]]="","",IFERROR(INDEX(tbl_BahanBaku[HARGA PER SATUAN DASAR],MATCH(tblDetailHPP[[#This Row],[KODE KOMPONEN]],tbl_BahanBaku[KODE KOMPONEN],0)),""))</f>
        <v>40</v>
      </c>
      <c r="J96" s="89">
        <f>IF(tblDetailHPP[[#This Row],[KODE KOMPONEN]]="","",IF(tblDetailHPP[[#This Row],[STATUS HARGA]]="OK",ROUND(tblDetailHPP[[#This Row],[QTY PAKAI]]*tblDetailHPP[[#This Row],[HARGA PER SATUAN DASAR]],2),""))</f>
        <v>60</v>
      </c>
      <c r="K9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96" s="34">
        <f>IF(tblDetailHPP[[#This Row],[KODE PRODUK]]="",0,IFERROR(INDEX('PENJUALAN (QTY)'!$AH$3:$AH$500,MATCH(tblDetailHPP[[#This Row],[KODE PRODUK]],'PENJUALAN (QTY)'!$A$3:$A$500,0)),0))</f>
        <v>0</v>
      </c>
      <c r="M9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97" spans="1:13">
      <c r="A97" s="34" t="s">
        <v>185</v>
      </c>
      <c r="B97" s="34" t="str">
        <f>IFERROR(INDEX(tbl_Produk[NAMA PRODUK],MATCH(tblDetailHPP[[#This Row],[KODE PRODUK]],tbl_Produk[KODE PRODUK],0)),"")</f>
        <v>AYAM GEPREK S. MATAH</v>
      </c>
      <c r="C97" s="34" t="s">
        <v>354</v>
      </c>
      <c r="D97" s="34" t="s">
        <v>121</v>
      </c>
      <c r="E97" s="34" t="str">
        <f>IF(tblDetailHPP[[#This Row],[KODE KOMPONEN]]="","",IFERROR(INDEX(tbl_BahanBaku[KATEGORI HPP],MATCH(tblDetailHPP[[#This Row],[KODE KOMPONEN]],tbl_BahanBaku[KODE KOMPONEN],0)),""))</f>
        <v>BUMBU &amp; PELENGKAP</v>
      </c>
      <c r="F97" s="34" t="str">
        <f>IF(tblDetailHPP[[#This Row],[KODE KOMPONEN]]="","",IFERROR(INDEX(tbl_BahanBaku[NAMA KOMPONEN],MATCH(tblDetailHPP[[#This Row],[KODE KOMPONEN]],tbl_BahanBaku[KODE KOMPONEN],0)),""))</f>
        <v>BUMBU MARINASI</v>
      </c>
      <c r="G97" s="88">
        <v>2.5</v>
      </c>
      <c r="H97" s="34" t="s">
        <v>5</v>
      </c>
      <c r="I97" s="89">
        <f>IF(tblDetailHPP[[#This Row],[KODE KOMPONEN]]="","",IFERROR(INDEX(tbl_BahanBaku[HARGA PER SATUAN DASAR],MATCH(tblDetailHPP[[#This Row],[KODE KOMPONEN]],tbl_BahanBaku[KODE KOMPONEN],0)),""))</f>
        <v>71.666666666666671</v>
      </c>
      <c r="J97" s="89">
        <f>IF(tblDetailHPP[[#This Row],[KODE KOMPONEN]]="","",IF(tblDetailHPP[[#This Row],[STATUS HARGA]]="OK",ROUND(tblDetailHPP[[#This Row],[QTY PAKAI]]*tblDetailHPP[[#This Row],[HARGA PER SATUAN DASAR]],2),""))</f>
        <v>179.17</v>
      </c>
      <c r="K9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97" s="34">
        <f>IF(tblDetailHPP[[#This Row],[KODE PRODUK]]="",0,IFERROR(INDEX('PENJUALAN (QTY)'!$AH$3:$AH$500,MATCH(tblDetailHPP[[#This Row],[KODE PRODUK]],'PENJUALAN (QTY)'!$A$3:$A$500,0)),0))</f>
        <v>0</v>
      </c>
      <c r="M9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98" spans="1:13">
      <c r="A98" s="34" t="s">
        <v>185</v>
      </c>
      <c r="B98" s="34" t="str">
        <f>IFERROR(INDEX(tbl_Produk[NAMA PRODUK],MATCH(tblDetailHPP[[#This Row],[KODE PRODUK]],tbl_Produk[KODE PRODUK],0)),"")</f>
        <v>AYAM GEPREK S. MATAH</v>
      </c>
      <c r="C98" s="34" t="s">
        <v>354</v>
      </c>
      <c r="D98" s="34" t="s">
        <v>126</v>
      </c>
      <c r="E98" s="34" t="str">
        <f>IF(tblDetailHPP[[#This Row],[KODE KOMPONEN]]="","",IFERROR(INDEX(tbl_BahanBaku[KATEGORI HPP],MATCH(tblDetailHPP[[#This Row],[KODE KOMPONEN]],tbl_BahanBaku[KODE KOMPONEN],0)),""))</f>
        <v>BUMBU &amp; PELENGKAP</v>
      </c>
      <c r="F98" s="34" t="str">
        <f>IF(tblDetailHPP[[#This Row],[KODE KOMPONEN]]="","",IFERROR(INDEX(tbl_BahanBaku[NAMA KOMPONEN],MATCH(tblDetailHPP[[#This Row],[KODE KOMPONEN]],tbl_BahanBaku[KODE KOMPONEN],0)),""))</f>
        <v>CABAI RAWIT</v>
      </c>
      <c r="G98" s="88">
        <v>15.4</v>
      </c>
      <c r="H98" s="34" t="s">
        <v>5</v>
      </c>
      <c r="I98" s="89">
        <f>IF(tblDetailHPP[[#This Row],[KODE KOMPONEN]]="","",IFERROR(INDEX(tbl_BahanBaku[HARGA PER SATUAN DASAR],MATCH(tblDetailHPP[[#This Row],[KODE KOMPONEN]],tbl_BahanBaku[KODE KOMPONEN],0)),""))</f>
        <v>60</v>
      </c>
      <c r="J98" s="89">
        <f>IF(tblDetailHPP[[#This Row],[KODE KOMPONEN]]="","",IF(tblDetailHPP[[#This Row],[STATUS HARGA]]="OK",ROUND(tblDetailHPP[[#This Row],[QTY PAKAI]]*tblDetailHPP[[#This Row],[HARGA PER SATUAN DASAR]],2),""))</f>
        <v>924</v>
      </c>
      <c r="K9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98" s="34">
        <f>IF(tblDetailHPP[[#This Row],[KODE PRODUK]]="",0,IFERROR(INDEX('PENJUALAN (QTY)'!$AH$3:$AH$500,MATCH(tblDetailHPP[[#This Row],[KODE PRODUK]],'PENJUALAN (QTY)'!$A$3:$A$500,0)),0))</f>
        <v>0</v>
      </c>
      <c r="M9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99" spans="1:13">
      <c r="A99" s="34" t="s">
        <v>185</v>
      </c>
      <c r="B99" s="34" t="str">
        <f>IFERROR(INDEX(tbl_Produk[NAMA PRODUK],MATCH(tblDetailHPP[[#This Row],[KODE PRODUK]],tbl_Produk[KODE PRODUK],0)),"")</f>
        <v>AYAM GEPREK S. MATAH</v>
      </c>
      <c r="C99" s="34" t="s">
        <v>354</v>
      </c>
      <c r="D99" s="34" t="s">
        <v>130</v>
      </c>
      <c r="E99" s="34" t="str">
        <f>IF(tblDetailHPP[[#This Row],[KODE KOMPONEN]]="","",IFERROR(INDEX(tbl_BahanBaku[KATEGORI HPP],MATCH(tblDetailHPP[[#This Row],[KODE KOMPONEN]],tbl_BahanBaku[KODE KOMPONEN],0)),""))</f>
        <v>KEMASAN &amp; SUPPLIES</v>
      </c>
      <c r="F99" s="34" t="str">
        <f>IF(tblDetailHPP[[#This Row],[KODE KOMPONEN]]="","",IFERROR(INDEX(tbl_BahanBaku[NAMA KOMPONEN],MATCH(tblDetailHPP[[#This Row],[KODE KOMPONEN]],tbl_BahanBaku[KODE KOMPONEN],0)),""))</f>
        <v>CUP 60 ML</v>
      </c>
      <c r="G99" s="88">
        <v>1</v>
      </c>
      <c r="H99" s="34" t="s">
        <v>4</v>
      </c>
      <c r="I99" s="89">
        <f>IF(tblDetailHPP[[#This Row],[KODE KOMPONEN]]="","",IFERROR(INDEX(tbl_BahanBaku[HARGA PER SATUAN DASAR],MATCH(tblDetailHPP[[#This Row],[KODE KOMPONEN]],tbl_BahanBaku[KODE KOMPONEN],0)),""))</f>
        <v>300</v>
      </c>
      <c r="J99" s="89">
        <f>IF(tblDetailHPP[[#This Row],[KODE KOMPONEN]]="","",IF(tblDetailHPP[[#This Row],[STATUS HARGA]]="OK",ROUND(tblDetailHPP[[#This Row],[QTY PAKAI]]*tblDetailHPP[[#This Row],[HARGA PER SATUAN DASAR]],2),""))</f>
        <v>300</v>
      </c>
      <c r="K9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99" s="34">
        <f>IF(tblDetailHPP[[#This Row],[KODE PRODUK]]="",0,IFERROR(INDEX('PENJUALAN (QTY)'!$AH$3:$AH$500,MATCH(tblDetailHPP[[#This Row],[KODE PRODUK]],'PENJUALAN (QTY)'!$A$3:$A$500,0)),0))</f>
        <v>0</v>
      </c>
      <c r="M9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00" spans="1:13">
      <c r="A100" s="34" t="s">
        <v>185</v>
      </c>
      <c r="B100" s="34" t="str">
        <f>IFERROR(INDEX(tbl_Produk[NAMA PRODUK],MATCH(tblDetailHPP[[#This Row],[KODE PRODUK]],tbl_Produk[KODE PRODUK],0)),"")</f>
        <v>AYAM GEPREK S. MATAH</v>
      </c>
      <c r="C100" s="34" t="s">
        <v>354</v>
      </c>
      <c r="D100" s="34" t="s">
        <v>220</v>
      </c>
      <c r="E100" s="34" t="str">
        <f>IF(tblDetailHPP[[#This Row],[KODE KOMPONEN]]="","",IFERROR(INDEX(tbl_BahanBaku[KATEGORI HPP],MATCH(tblDetailHPP[[#This Row],[KODE KOMPONEN]],tbl_BahanBaku[KODE KOMPONEN],0)),""))</f>
        <v>BUMBU &amp; PELENGKAP</v>
      </c>
      <c r="F100" s="34" t="str">
        <f>IF(tblDetailHPP[[#This Row],[KODE KOMPONEN]]="","",IFERROR(INDEX(tbl_BahanBaku[NAMA KOMPONEN],MATCH(tblDetailHPP[[#This Row],[KODE KOMPONEN]],tbl_BahanBaku[KODE KOMPONEN],0)),""))</f>
        <v>DAUN JERUK</v>
      </c>
      <c r="G100" s="88">
        <v>1</v>
      </c>
      <c r="H100" s="34" t="s">
        <v>110</v>
      </c>
      <c r="I100" s="89">
        <f>IF(tblDetailHPP[[#This Row],[KODE KOMPONEN]]="","",IFERROR(INDEX(tbl_BahanBaku[HARGA PER SATUAN DASAR],MATCH(tblDetailHPP[[#This Row],[KODE KOMPONEN]],tbl_BahanBaku[KODE KOMPONEN],0)),""))</f>
        <v>40</v>
      </c>
      <c r="J100" s="89">
        <f>IF(tblDetailHPP[[#This Row],[KODE KOMPONEN]]="","",IF(tblDetailHPP[[#This Row],[STATUS HARGA]]="OK",ROUND(tblDetailHPP[[#This Row],[QTY PAKAI]]*tblDetailHPP[[#This Row],[HARGA PER SATUAN DASAR]],2),""))</f>
        <v>40</v>
      </c>
      <c r="K10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00" s="34">
        <f>IF(tblDetailHPP[[#This Row],[KODE PRODUK]]="",0,IFERROR(INDEX('PENJUALAN (QTY)'!$AH$3:$AH$500,MATCH(tblDetailHPP[[#This Row],[KODE PRODUK]],'PENJUALAN (QTY)'!$A$3:$A$500,0)),0))</f>
        <v>0</v>
      </c>
      <c r="M10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01" spans="1:13">
      <c r="A101" s="34" t="s">
        <v>185</v>
      </c>
      <c r="B101" s="34" t="str">
        <f>IFERROR(INDEX(tbl_Produk[NAMA PRODUK],MATCH(tblDetailHPP[[#This Row],[KODE PRODUK]],tbl_Produk[KODE PRODUK],0)),"")</f>
        <v>AYAM GEPREK S. MATAH</v>
      </c>
      <c r="C101" s="34" t="s">
        <v>354</v>
      </c>
      <c r="D101" s="34" t="s">
        <v>142</v>
      </c>
      <c r="E101" s="34" t="str">
        <f>IF(tblDetailHPP[[#This Row],[KODE KOMPONEN]]="","",IFERROR(INDEX(tbl_BahanBaku[KATEGORI HPP],MATCH(tblDetailHPP[[#This Row],[KODE KOMPONEN]],tbl_BahanBaku[KODE KOMPONEN],0)),""))</f>
        <v>OVERHEAD / OPERASIONAL</v>
      </c>
      <c r="F101" s="34" t="str">
        <f>IF(tblDetailHPP[[#This Row],[KODE KOMPONEN]]="","",IFERROR(INDEX(tbl_BahanBaku[NAMA KOMPONEN],MATCH(tblDetailHPP[[#This Row],[KODE KOMPONEN]],tbl_BahanBaku[KODE KOMPONEN],0)),""))</f>
        <v>KERTAS PRINTER</v>
      </c>
      <c r="G101" s="88">
        <v>15</v>
      </c>
      <c r="H101" s="34" t="s">
        <v>222</v>
      </c>
      <c r="I101" s="89">
        <f>IF(tblDetailHPP[[#This Row],[KODE KOMPONEN]]="","",IFERROR(INDEX(tbl_BahanBaku[HARGA PER SATUAN DASAR],MATCH(tblDetailHPP[[#This Row],[KODE KOMPONEN]],tbl_BahanBaku[KODE KOMPONEN],0)),""))</f>
        <v>5</v>
      </c>
      <c r="J101" s="89">
        <f>IF(tblDetailHPP[[#This Row],[KODE KOMPONEN]]="","",IF(tblDetailHPP[[#This Row],[STATUS HARGA]]="OK",ROUND(tblDetailHPP[[#This Row],[QTY PAKAI]]*tblDetailHPP[[#This Row],[HARGA PER SATUAN DASAR]],2),""))</f>
        <v>75</v>
      </c>
      <c r="K10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01" s="34">
        <f>IF(tblDetailHPP[[#This Row],[KODE PRODUK]]="",0,IFERROR(INDEX('PENJUALAN (QTY)'!$AH$3:$AH$500,MATCH(tblDetailHPP[[#This Row],[KODE PRODUK]],'PENJUALAN (QTY)'!$A$3:$A$500,0)),0))</f>
        <v>0</v>
      </c>
      <c r="M10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02" spans="1:13">
      <c r="A102" s="34" t="s">
        <v>185</v>
      </c>
      <c r="B102" s="34" t="str">
        <f>IFERROR(INDEX(tbl_Produk[NAMA PRODUK],MATCH(tblDetailHPP[[#This Row],[KODE PRODUK]],tbl_Produk[KODE PRODUK],0)),"")</f>
        <v>AYAM GEPREK S. MATAH</v>
      </c>
      <c r="C102" s="34" t="s">
        <v>354</v>
      </c>
      <c r="D102" s="34" t="s">
        <v>143</v>
      </c>
      <c r="E102" s="34" t="str">
        <f>IF(tblDetailHPP[[#This Row],[KODE KOMPONEN]]="","",IFERROR(INDEX(tbl_BahanBaku[KATEGORI HPP],MATCH(tblDetailHPP[[#This Row],[KODE KOMPONEN]],tbl_BahanBaku[KODE KOMPONEN],0)),""))</f>
        <v>OVERHEAD / OPERASIONAL</v>
      </c>
      <c r="F102" s="34" t="str">
        <f>IF(tblDetailHPP[[#This Row],[KODE KOMPONEN]]="","",IFERROR(INDEX(tbl_BahanBaku[NAMA KOMPONEN],MATCH(tblDetailHPP[[#This Row],[KODE KOMPONEN]],tbl_BahanBaku[KODE KOMPONEN],0)),""))</f>
        <v>LPG 3KG</v>
      </c>
      <c r="G102" s="88">
        <v>13</v>
      </c>
      <c r="H102" s="34" t="s">
        <v>5</v>
      </c>
      <c r="I102" s="89">
        <f>IF(tblDetailHPP[[#This Row],[KODE KOMPONEN]]="","",IFERROR(INDEX(tbl_BahanBaku[HARGA PER SATUAN DASAR],MATCH(tblDetailHPP[[#This Row],[KODE KOMPONEN]],tbl_BahanBaku[KODE KOMPONEN],0)),""))</f>
        <v>7.666666666666667</v>
      </c>
      <c r="J102" s="89">
        <f>IF(tblDetailHPP[[#This Row],[KODE KOMPONEN]]="","",IF(tblDetailHPP[[#This Row],[STATUS HARGA]]="OK",ROUND(tblDetailHPP[[#This Row],[QTY PAKAI]]*tblDetailHPP[[#This Row],[HARGA PER SATUAN DASAR]],2),""))</f>
        <v>99.67</v>
      </c>
      <c r="K10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02" s="34">
        <f>IF(tblDetailHPP[[#This Row],[KODE PRODUK]]="",0,IFERROR(INDEX('PENJUALAN (QTY)'!$AH$3:$AH$500,MATCH(tblDetailHPP[[#This Row],[KODE PRODUK]],'PENJUALAN (QTY)'!$A$3:$A$500,0)),0))</f>
        <v>0</v>
      </c>
      <c r="M10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03" spans="1:13">
      <c r="A103" s="34" t="s">
        <v>185</v>
      </c>
      <c r="B103" s="34" t="str">
        <f>IFERROR(INDEX(tbl_Produk[NAMA PRODUK],MATCH(tblDetailHPP[[#This Row],[KODE PRODUK]],tbl_Produk[KODE PRODUK],0)),"")</f>
        <v>AYAM GEPREK S. MATAH</v>
      </c>
      <c r="C103" s="34" t="s">
        <v>354</v>
      </c>
      <c r="D103" s="34" t="s">
        <v>146</v>
      </c>
      <c r="E103" s="34" t="str">
        <f>IF(tblDetailHPP[[#This Row],[KODE KOMPONEN]]="","",IFERROR(INDEX(tbl_BahanBaku[KATEGORI HPP],MATCH(tblDetailHPP[[#This Row],[KODE KOMPONEN]],tbl_BahanBaku[KODE KOMPONEN],0)),""))</f>
        <v>KEMASAN &amp; SUPPLIES</v>
      </c>
      <c r="F103" s="34" t="str">
        <f>IF(tblDetailHPP[[#This Row],[KODE KOMPONEN]]="","",IFERROR(INDEX(tbl_BahanBaku[NAMA KOMPONEN],MATCH(tblDetailHPP[[#This Row],[KODE KOMPONEN]],tbl_BahanBaku[KODE KOMPONEN],0)),""))</f>
        <v>LUNCHBOX S</v>
      </c>
      <c r="G103" s="88">
        <v>1</v>
      </c>
      <c r="H103" s="34" t="s">
        <v>4</v>
      </c>
      <c r="I103" s="89">
        <f>IF(tblDetailHPP[[#This Row],[KODE KOMPONEN]]="","",IFERROR(INDEX(tbl_BahanBaku[HARGA PER SATUAN DASAR],MATCH(tblDetailHPP[[#This Row],[KODE KOMPONEN]],tbl_BahanBaku[KODE KOMPONEN],0)),""))</f>
        <v>450</v>
      </c>
      <c r="J103" s="89">
        <f>IF(tblDetailHPP[[#This Row],[KODE KOMPONEN]]="","",IF(tblDetailHPP[[#This Row],[STATUS HARGA]]="OK",ROUND(tblDetailHPP[[#This Row],[QTY PAKAI]]*tblDetailHPP[[#This Row],[HARGA PER SATUAN DASAR]],2),""))</f>
        <v>450</v>
      </c>
      <c r="K10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03" s="34">
        <f>IF(tblDetailHPP[[#This Row],[KODE PRODUK]]="",0,IFERROR(INDEX('PENJUALAN (QTY)'!$AH$3:$AH$500,MATCH(tblDetailHPP[[#This Row],[KODE PRODUK]],'PENJUALAN (QTY)'!$A$3:$A$500,0)),0))</f>
        <v>0</v>
      </c>
      <c r="M10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04" spans="1:13">
      <c r="A104" s="34" t="s">
        <v>185</v>
      </c>
      <c r="B104" s="34" t="str">
        <f>IFERROR(INDEX(tbl_Produk[NAMA PRODUK],MATCH(tblDetailHPP[[#This Row],[KODE PRODUK]],tbl_Produk[KODE PRODUK],0)),"")</f>
        <v>AYAM GEPREK S. MATAH</v>
      </c>
      <c r="C104" s="34" t="s">
        <v>354</v>
      </c>
      <c r="D104" s="34" t="s">
        <v>150</v>
      </c>
      <c r="E104" s="34" t="str">
        <f>IF(tblDetailHPP[[#This Row],[KODE KOMPONEN]]="","",IFERROR(INDEX(tbl_BahanBaku[KATEGORI HPP],MATCH(tblDetailHPP[[#This Row],[KODE KOMPONEN]],tbl_BahanBaku[KODE KOMPONEN],0)),""))</f>
        <v>BUMBU &amp; PELENGKAP</v>
      </c>
      <c r="F104" s="34" t="str">
        <f>IF(tblDetailHPP[[#This Row],[KODE KOMPONEN]]="","",IFERROR(INDEX(tbl_BahanBaku[NAMA KOMPONEN],MATCH(tblDetailHPP[[#This Row],[KODE KOMPONEN]],tbl_BahanBaku[KODE KOMPONEN],0)),""))</f>
        <v>MINYAK</v>
      </c>
      <c r="G104" s="88">
        <v>60</v>
      </c>
      <c r="H104" s="34" t="s">
        <v>6</v>
      </c>
      <c r="I104" s="89">
        <f>IF(tblDetailHPP[[#This Row],[KODE KOMPONEN]]="","",IFERROR(INDEX(tbl_BahanBaku[HARGA PER SATUAN DASAR],MATCH(tblDetailHPP[[#This Row],[KODE KOMPONEN]],tbl_BahanBaku[KODE KOMPONEN],0)),""))</f>
        <v>23</v>
      </c>
      <c r="J104" s="89">
        <f>IF(tblDetailHPP[[#This Row],[KODE KOMPONEN]]="","",IF(tblDetailHPP[[#This Row],[STATUS HARGA]]="OK",ROUND(tblDetailHPP[[#This Row],[QTY PAKAI]]*tblDetailHPP[[#This Row],[HARGA PER SATUAN DASAR]],2),""))</f>
        <v>1380</v>
      </c>
      <c r="K10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04" s="34">
        <f>IF(tblDetailHPP[[#This Row],[KODE PRODUK]]="",0,IFERROR(INDEX('PENJUALAN (QTY)'!$AH$3:$AH$500,MATCH(tblDetailHPP[[#This Row],[KODE PRODUK]],'PENJUALAN (QTY)'!$A$3:$A$500,0)),0))</f>
        <v>0</v>
      </c>
      <c r="M10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05" spans="1:13">
      <c r="A105" s="34" t="s">
        <v>185</v>
      </c>
      <c r="B105" s="34" t="str">
        <f>IFERROR(INDEX(tbl_Produk[NAMA PRODUK],MATCH(tblDetailHPP[[#This Row],[KODE PRODUK]],tbl_Produk[KODE PRODUK],0)),"")</f>
        <v>AYAM GEPREK S. MATAH</v>
      </c>
      <c r="C105" s="34" t="s">
        <v>354</v>
      </c>
      <c r="D105" s="34" t="s">
        <v>158</v>
      </c>
      <c r="E105" s="34" t="str">
        <f>IF(tblDetailHPP[[#This Row],[KODE KOMPONEN]]="","",IFERROR(INDEX(tbl_BahanBaku[KATEGORI HPP],MATCH(tblDetailHPP[[#This Row],[KODE KOMPONEN]],tbl_BahanBaku[KODE KOMPONEN],0)),""))</f>
        <v>KEMASAN &amp; SUPPLIES</v>
      </c>
      <c r="F105" s="34" t="str">
        <f>IF(tblDetailHPP[[#This Row],[KODE KOMPONEN]]="","",IFERROR(INDEX(tbl_BahanBaku[NAMA KOMPONEN],MATCH(tblDetailHPP[[#This Row],[KODE KOMPONEN]],tbl_BahanBaku[KODE KOMPONEN],0)),""))</f>
        <v>PLASTIK UK. 15</v>
      </c>
      <c r="G105" s="88">
        <v>1</v>
      </c>
      <c r="H105" s="34" t="s">
        <v>4</v>
      </c>
      <c r="I105" s="89">
        <f>IF(tblDetailHPP[[#This Row],[KODE KOMPONEN]]="","",IFERROR(INDEX(tbl_BahanBaku[HARGA PER SATUAN DASAR],MATCH(tblDetailHPP[[#This Row],[KODE KOMPONEN]],tbl_BahanBaku[KODE KOMPONEN],0)),""))</f>
        <v>280</v>
      </c>
      <c r="J105" s="89">
        <f>IF(tblDetailHPP[[#This Row],[KODE KOMPONEN]]="","",IF(tblDetailHPP[[#This Row],[STATUS HARGA]]="OK",ROUND(tblDetailHPP[[#This Row],[QTY PAKAI]]*tblDetailHPP[[#This Row],[HARGA PER SATUAN DASAR]],2),""))</f>
        <v>280</v>
      </c>
      <c r="K10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05" s="34">
        <f>IF(tblDetailHPP[[#This Row],[KODE PRODUK]]="",0,IFERROR(INDEX('PENJUALAN (QTY)'!$AH$3:$AH$500,MATCH(tblDetailHPP[[#This Row],[KODE PRODUK]],'PENJUALAN (QTY)'!$A$3:$A$500,0)),0))</f>
        <v>0</v>
      </c>
      <c r="M10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06" spans="1:13">
      <c r="A106" s="34" t="s">
        <v>185</v>
      </c>
      <c r="B106" s="34" t="str">
        <f>IFERROR(INDEX(tbl_Produk[NAMA PRODUK],MATCH(tblDetailHPP[[#This Row],[KODE PRODUK]],tbl_Produk[KODE PRODUK],0)),"")</f>
        <v>AYAM GEPREK S. MATAH</v>
      </c>
      <c r="C106" s="34" t="s">
        <v>354</v>
      </c>
      <c r="D106" s="34" t="s">
        <v>218</v>
      </c>
      <c r="E106" s="34" t="str">
        <f>IF(tblDetailHPP[[#This Row],[KODE KOMPONEN]]="","",IFERROR(INDEX(tbl_BahanBaku[KATEGORI HPP],MATCH(tblDetailHPP[[#This Row],[KODE KOMPONEN]],tbl_BahanBaku[KODE KOMPONEN],0)),""))</f>
        <v>BUMBU &amp; PELENGKAP</v>
      </c>
      <c r="F106" s="34" t="str">
        <f>IF(tblDetailHPP[[#This Row],[KODE KOMPONEN]]="","",IFERROR(INDEX(tbl_BahanBaku[NAMA KOMPONEN],MATCH(tblDetailHPP[[#This Row],[KODE KOMPONEN]],tbl_BahanBaku[KODE KOMPONEN],0)),""))</f>
        <v>SEREH</v>
      </c>
      <c r="G106" s="88">
        <v>1</v>
      </c>
      <c r="H106" s="34" t="s">
        <v>110</v>
      </c>
      <c r="I106" s="89">
        <f>IF(tblDetailHPP[[#This Row],[KODE KOMPONEN]]="","",IFERROR(INDEX(tbl_BahanBaku[HARGA PER SATUAN DASAR],MATCH(tblDetailHPP[[#This Row],[KODE KOMPONEN]],tbl_BahanBaku[KODE KOMPONEN],0)),""))</f>
        <v>250</v>
      </c>
      <c r="J106" s="89">
        <f>IF(tblDetailHPP[[#This Row],[KODE KOMPONEN]]="","",IF(tblDetailHPP[[#This Row],[STATUS HARGA]]="OK",ROUND(tblDetailHPP[[#This Row],[QTY PAKAI]]*tblDetailHPP[[#This Row],[HARGA PER SATUAN DASAR]],2),""))</f>
        <v>250</v>
      </c>
      <c r="K10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06" s="34">
        <f>IF(tblDetailHPP[[#This Row],[KODE PRODUK]]="",0,IFERROR(INDEX('PENJUALAN (QTY)'!$AH$3:$AH$500,MATCH(tblDetailHPP[[#This Row],[KODE PRODUK]],'PENJUALAN (QTY)'!$A$3:$A$500,0)),0))</f>
        <v>0</v>
      </c>
      <c r="M10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07" spans="1:13">
      <c r="A107" s="34" t="s">
        <v>185</v>
      </c>
      <c r="B107" s="34" t="str">
        <f>IFERROR(INDEX(tbl_Produk[NAMA PRODUK],MATCH(tblDetailHPP[[#This Row],[KODE PRODUK]],tbl_Produk[KODE PRODUK],0)),"")</f>
        <v>AYAM GEPREK S. MATAH</v>
      </c>
      <c r="C107" s="34" t="s">
        <v>354</v>
      </c>
      <c r="D107" s="34" t="s">
        <v>170</v>
      </c>
      <c r="E107" s="34" t="str">
        <f>IF(tblDetailHPP[[#This Row],[KODE KOMPONEN]]="","",IFERROR(INDEX(tbl_BahanBaku[KATEGORI HPP],MATCH(tblDetailHPP[[#This Row],[KODE KOMPONEN]],tbl_BahanBaku[KODE KOMPONEN],0)),""))</f>
        <v>OVERHEAD / OPERASIONAL</v>
      </c>
      <c r="F107" s="34" t="str">
        <f>IF(tblDetailHPP[[#This Row],[KODE KOMPONEN]]="","",IFERROR(INDEX(tbl_BahanBaku[NAMA KOMPONEN],MATCH(tblDetailHPP[[#This Row],[KODE KOMPONEN]],tbl_BahanBaku[KODE KOMPONEN],0)),""))</f>
        <v>STICKER BRANDING</v>
      </c>
      <c r="G107" s="88">
        <v>1</v>
      </c>
      <c r="H107" s="34" t="s">
        <v>4</v>
      </c>
      <c r="I107" s="89">
        <f>IF(tblDetailHPP[[#This Row],[KODE KOMPONEN]]="","",IFERROR(INDEX(tbl_BahanBaku[HARGA PER SATUAN DASAR],MATCH(tblDetailHPP[[#This Row],[KODE KOMPONEN]],tbl_BahanBaku[KODE KOMPONEN],0)),""))</f>
        <v>129.87012987012986</v>
      </c>
      <c r="J107" s="89">
        <f>IF(tblDetailHPP[[#This Row],[KODE KOMPONEN]]="","",IF(tblDetailHPP[[#This Row],[STATUS HARGA]]="OK",ROUND(tblDetailHPP[[#This Row],[QTY PAKAI]]*tblDetailHPP[[#This Row],[HARGA PER SATUAN DASAR]],2),""))</f>
        <v>129.87</v>
      </c>
      <c r="K10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07" s="34">
        <f>IF(tblDetailHPP[[#This Row],[KODE PRODUK]]="",0,IFERROR(INDEX('PENJUALAN (QTY)'!$AH$3:$AH$500,MATCH(tblDetailHPP[[#This Row],[KODE PRODUK]],'PENJUALAN (QTY)'!$A$3:$A$500,0)),0))</f>
        <v>0</v>
      </c>
      <c r="M10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08" spans="1:13">
      <c r="A108" s="34" t="s">
        <v>185</v>
      </c>
      <c r="B108" s="34" t="str">
        <f>IFERROR(INDEX(tbl_Produk[NAMA PRODUK],MATCH(tblDetailHPP[[#This Row],[KODE PRODUK]],tbl_Produk[KODE PRODUK],0)),"")</f>
        <v>AYAM GEPREK S. MATAH</v>
      </c>
      <c r="C108" s="34" t="s">
        <v>354</v>
      </c>
      <c r="D108" s="34" t="s">
        <v>174</v>
      </c>
      <c r="E108" s="34" t="str">
        <f>IF(tblDetailHPP[[#This Row],[KODE KOMPONEN]]="","",IFERROR(INDEX(tbl_BahanBaku[KATEGORI HPP],MATCH(tblDetailHPP[[#This Row],[KODE KOMPONEN]],tbl_BahanBaku[KODE KOMPONEN],0)),""))</f>
        <v>BUMBU &amp; PELENGKAP</v>
      </c>
      <c r="F108" s="34" t="str">
        <f>IF(tblDetailHPP[[#This Row],[KODE KOMPONEN]]="","",IFERROR(INDEX(tbl_BahanBaku[NAMA KOMPONEN],MATCH(tblDetailHPP[[#This Row],[KODE KOMPONEN]],tbl_BahanBaku[KODE KOMPONEN],0)),""))</f>
        <v>TEPUNG TERIGU</v>
      </c>
      <c r="G108" s="88">
        <v>125</v>
      </c>
      <c r="H108" s="34" t="s">
        <v>5</v>
      </c>
      <c r="I108" s="89">
        <f>IF(tblDetailHPP[[#This Row],[KODE KOMPONEN]]="","",IFERROR(INDEX(tbl_BahanBaku[HARGA PER SATUAN DASAR],MATCH(tblDetailHPP[[#This Row],[KODE KOMPONEN]],tbl_BahanBaku[KODE KOMPONEN],0)),""))</f>
        <v>8</v>
      </c>
      <c r="J108" s="89">
        <f>IF(tblDetailHPP[[#This Row],[KODE KOMPONEN]]="","",IF(tblDetailHPP[[#This Row],[STATUS HARGA]]="OK",ROUND(tblDetailHPP[[#This Row],[QTY PAKAI]]*tblDetailHPP[[#This Row],[HARGA PER SATUAN DASAR]],2),""))</f>
        <v>1000</v>
      </c>
      <c r="K10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08" s="34">
        <f>IF(tblDetailHPP[[#This Row],[KODE PRODUK]]="",0,IFERROR(INDEX('PENJUALAN (QTY)'!$AH$3:$AH$500,MATCH(tblDetailHPP[[#This Row],[KODE PRODUK]],'PENJUALAN (QTY)'!$A$3:$A$500,0)),0))</f>
        <v>0</v>
      </c>
      <c r="M10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09" spans="1:13">
      <c r="A109" s="34" t="s">
        <v>185</v>
      </c>
      <c r="B109" s="34" t="str">
        <f>IFERROR(INDEX(tbl_Produk[NAMA PRODUK],MATCH(tblDetailHPP[[#This Row],[KODE PRODUK]],tbl_Produk[KODE PRODUK],0)),"")</f>
        <v>AYAM GEPREK S. MATAH</v>
      </c>
      <c r="C109" s="34" t="s">
        <v>354</v>
      </c>
      <c r="D109" s="34" t="s">
        <v>175</v>
      </c>
      <c r="E109" s="34" t="str">
        <f>IF(tblDetailHPP[[#This Row],[KODE KOMPONEN]]="","",IFERROR(INDEX(tbl_BahanBaku[KATEGORI HPP],MATCH(tblDetailHPP[[#This Row],[KODE KOMPONEN]],tbl_BahanBaku[KODE KOMPONEN],0)),""))</f>
        <v>BUMBU &amp; PELENGKAP</v>
      </c>
      <c r="F109" s="34" t="str">
        <f>IF(tblDetailHPP[[#This Row],[KODE KOMPONEN]]="","",IFERROR(INDEX(tbl_BahanBaku[NAMA KOMPONEN],MATCH(tblDetailHPP[[#This Row],[KODE KOMPONEN]],tbl_BahanBaku[KODE KOMPONEN],0)),""))</f>
        <v>TIMUN</v>
      </c>
      <c r="G109" s="88">
        <v>20</v>
      </c>
      <c r="H109" s="34" t="s">
        <v>5</v>
      </c>
      <c r="I109" s="89">
        <f>IF(tblDetailHPP[[#This Row],[KODE KOMPONEN]]="","",IFERROR(INDEX(tbl_BahanBaku[HARGA PER SATUAN DASAR],MATCH(tblDetailHPP[[#This Row],[KODE KOMPONEN]],tbl_BahanBaku[KODE KOMPONEN],0)),""))</f>
        <v>15</v>
      </c>
      <c r="J109" s="89">
        <f>IF(tblDetailHPP[[#This Row],[KODE KOMPONEN]]="","",IF(tblDetailHPP[[#This Row],[STATUS HARGA]]="OK",ROUND(tblDetailHPP[[#This Row],[QTY PAKAI]]*tblDetailHPP[[#This Row],[HARGA PER SATUAN DASAR]],2),""))</f>
        <v>300</v>
      </c>
      <c r="K10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09" s="34">
        <f>IF(tblDetailHPP[[#This Row],[KODE PRODUK]]="",0,IFERROR(INDEX('PENJUALAN (QTY)'!$AH$3:$AH$500,MATCH(tblDetailHPP[[#This Row],[KODE PRODUK]],'PENJUALAN (QTY)'!$A$3:$A$500,0)),0))</f>
        <v>0</v>
      </c>
      <c r="M10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10" spans="1:13">
      <c r="A110" s="34" t="s">
        <v>186</v>
      </c>
      <c r="B110" s="34" t="str">
        <f>IFERROR(INDEX(tbl_Produk[NAMA PRODUK],MATCH(tblDetailHPP[[#This Row],[KODE PRODUK]],tbl_Produk[KODE PRODUK],0)),"")</f>
        <v>AYAM GEPREK S. MATAH + NASI</v>
      </c>
      <c r="C110" s="34" t="s">
        <v>354</v>
      </c>
      <c r="D110" s="34" t="s">
        <v>114</v>
      </c>
      <c r="E110" s="34" t="str">
        <f>IF(tblDetailHPP[[#This Row],[KODE KOMPONEN]]="","",IFERROR(INDEX(tbl_BahanBaku[KATEGORI HPP],MATCH(tblDetailHPP[[#This Row],[KODE KOMPONEN]],tbl_BahanBaku[KODE KOMPONEN],0)),""))</f>
        <v>BAHAN UTAMA</v>
      </c>
      <c r="F110" s="34" t="str">
        <f>IF(tblDetailHPP[[#This Row],[KODE KOMPONEN]]="","",IFERROR(INDEX(tbl_BahanBaku[NAMA KOMPONEN],MATCH(tblDetailHPP[[#This Row],[KODE KOMPONEN]],tbl_BahanBaku[KODE KOMPONEN],0)),""))</f>
        <v>AYAM POTONG</v>
      </c>
      <c r="G110" s="88">
        <v>83.3</v>
      </c>
      <c r="H110" s="34" t="s">
        <v>5</v>
      </c>
      <c r="I110" s="89">
        <f>IF(tblDetailHPP[[#This Row],[KODE KOMPONEN]]="","",IFERROR(INDEX(tbl_BahanBaku[HARGA PER SATUAN DASAR],MATCH(tblDetailHPP[[#This Row],[KODE KOMPONEN]],tbl_BahanBaku[KODE KOMPONEN],0)),""))</f>
        <v>26.5</v>
      </c>
      <c r="J110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11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10" s="34">
        <f>IF(tblDetailHPP[[#This Row],[KODE PRODUK]]="",0,IFERROR(INDEX('PENJUALAN (QTY)'!$AH$3:$AH$500,MATCH(tblDetailHPP[[#This Row],[KODE PRODUK]],'PENJUALAN (QTY)'!$A$3:$A$500,0)),0))</f>
        <v>0</v>
      </c>
      <c r="M11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11" spans="1:13">
      <c r="A111" s="34" t="s">
        <v>186</v>
      </c>
      <c r="B111" s="34" t="str">
        <f>IFERROR(INDEX(tbl_Produk[NAMA PRODUK],MATCH(tblDetailHPP[[#This Row],[KODE PRODUK]],tbl_Produk[KODE PRODUK],0)),"")</f>
        <v>AYAM GEPREK S. MATAH + NASI</v>
      </c>
      <c r="C111" s="34" t="s">
        <v>354</v>
      </c>
      <c r="D111" s="34" t="s">
        <v>118</v>
      </c>
      <c r="E111" s="34" t="str">
        <f>IF(tblDetailHPP[[#This Row],[KODE KOMPONEN]]="","",IFERROR(INDEX(tbl_BahanBaku[KATEGORI HPP],MATCH(tblDetailHPP[[#This Row],[KODE KOMPONEN]],tbl_BahanBaku[KODE KOMPONEN],0)),""))</f>
        <v>BUMBU &amp; PELENGKAP</v>
      </c>
      <c r="F111" s="34" t="str">
        <f>IF(tblDetailHPP[[#This Row],[KODE KOMPONEN]]="","",IFERROR(INDEX(tbl_BahanBaku[NAMA KOMPONEN],MATCH(tblDetailHPP[[#This Row],[KODE KOMPONEN]],tbl_BahanBaku[KODE KOMPONEN],0)),""))</f>
        <v>BAWANG MERAH</v>
      </c>
      <c r="G111" s="88">
        <v>1.5</v>
      </c>
      <c r="H111" s="34" t="s">
        <v>5</v>
      </c>
      <c r="I111" s="89">
        <f>IF(tblDetailHPP[[#This Row],[KODE KOMPONEN]]="","",IFERROR(INDEX(tbl_BahanBaku[HARGA PER SATUAN DASAR],MATCH(tblDetailHPP[[#This Row],[KODE KOMPONEN]],tbl_BahanBaku[KODE KOMPONEN],0)),""))</f>
        <v>40</v>
      </c>
      <c r="J111" s="89">
        <f>IF(tblDetailHPP[[#This Row],[KODE KOMPONEN]]="","",IF(tblDetailHPP[[#This Row],[STATUS HARGA]]="OK",ROUND(tblDetailHPP[[#This Row],[QTY PAKAI]]*tblDetailHPP[[#This Row],[HARGA PER SATUAN DASAR]],2),""))</f>
        <v>60</v>
      </c>
      <c r="K11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11" s="34">
        <f>IF(tblDetailHPP[[#This Row],[KODE PRODUK]]="",0,IFERROR(INDEX('PENJUALAN (QTY)'!$AH$3:$AH$500,MATCH(tblDetailHPP[[#This Row],[KODE PRODUK]],'PENJUALAN (QTY)'!$A$3:$A$500,0)),0))</f>
        <v>0</v>
      </c>
      <c r="M11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12" spans="1:13">
      <c r="A112" s="34" t="s">
        <v>186</v>
      </c>
      <c r="B112" s="34" t="str">
        <f>IFERROR(INDEX(tbl_Produk[NAMA PRODUK],MATCH(tblDetailHPP[[#This Row],[KODE PRODUK]],tbl_Produk[KODE PRODUK],0)),"")</f>
        <v>AYAM GEPREK S. MATAH + NASI</v>
      </c>
      <c r="C112" s="34" t="s">
        <v>354</v>
      </c>
      <c r="D112" s="34" t="s">
        <v>120</v>
      </c>
      <c r="E112" s="34" t="str">
        <f>IF(tblDetailHPP[[#This Row],[KODE KOMPONEN]]="","",IFERROR(INDEX(tbl_BahanBaku[KATEGORI HPP],MATCH(tblDetailHPP[[#This Row],[KODE KOMPONEN]],tbl_BahanBaku[KODE KOMPONEN],0)),""))</f>
        <v>BAHAN UTAMA</v>
      </c>
      <c r="F112" s="34" t="str">
        <f>IF(tblDetailHPP[[#This Row],[KODE KOMPONEN]]="","",IFERROR(INDEX(tbl_BahanBaku[NAMA KOMPONEN],MATCH(tblDetailHPP[[#This Row],[KODE KOMPONEN]],tbl_BahanBaku[KODE KOMPONEN],0)),""))</f>
        <v>BERAS</v>
      </c>
      <c r="G112" s="88">
        <v>76.900000000000006</v>
      </c>
      <c r="H112" s="34" t="s">
        <v>5</v>
      </c>
      <c r="I112" s="89">
        <f>IF(tblDetailHPP[[#This Row],[KODE KOMPONEN]]="","",IFERROR(INDEX(tbl_BahanBaku[HARGA PER SATUAN DASAR],MATCH(tblDetailHPP[[#This Row],[KODE KOMPONEN]],tbl_BahanBaku[KODE KOMPONEN],0)),""))</f>
        <v>14</v>
      </c>
      <c r="J112" s="89">
        <f>IF(tblDetailHPP[[#This Row],[KODE KOMPONEN]]="","",IF(tblDetailHPP[[#This Row],[STATUS HARGA]]="OK",ROUND(tblDetailHPP[[#This Row],[QTY PAKAI]]*tblDetailHPP[[#This Row],[HARGA PER SATUAN DASAR]],2),""))</f>
        <v>1076.5999999999999</v>
      </c>
      <c r="K11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12" s="34">
        <f>IF(tblDetailHPP[[#This Row],[KODE PRODUK]]="",0,IFERROR(INDEX('PENJUALAN (QTY)'!$AH$3:$AH$500,MATCH(tblDetailHPP[[#This Row],[KODE PRODUK]],'PENJUALAN (QTY)'!$A$3:$A$500,0)),0))</f>
        <v>0</v>
      </c>
      <c r="M11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13" spans="1:13">
      <c r="A113" s="34" t="s">
        <v>186</v>
      </c>
      <c r="B113" s="34" t="str">
        <f>IFERROR(INDEX(tbl_Produk[NAMA PRODUK],MATCH(tblDetailHPP[[#This Row],[KODE PRODUK]],tbl_Produk[KODE PRODUK],0)),"")</f>
        <v>AYAM GEPREK S. MATAH + NASI</v>
      </c>
      <c r="C113" s="34" t="s">
        <v>354</v>
      </c>
      <c r="D113" s="34" t="s">
        <v>121</v>
      </c>
      <c r="E113" s="34" t="str">
        <f>IF(tblDetailHPP[[#This Row],[KODE KOMPONEN]]="","",IFERROR(INDEX(tbl_BahanBaku[KATEGORI HPP],MATCH(tblDetailHPP[[#This Row],[KODE KOMPONEN]],tbl_BahanBaku[KODE KOMPONEN],0)),""))</f>
        <v>BUMBU &amp; PELENGKAP</v>
      </c>
      <c r="F113" s="34" t="str">
        <f>IF(tblDetailHPP[[#This Row],[KODE KOMPONEN]]="","",IFERROR(INDEX(tbl_BahanBaku[NAMA KOMPONEN],MATCH(tblDetailHPP[[#This Row],[KODE KOMPONEN]],tbl_BahanBaku[KODE KOMPONEN],0)),""))</f>
        <v>BUMBU MARINASI</v>
      </c>
      <c r="G113" s="88">
        <v>2.5</v>
      </c>
      <c r="H113" s="34" t="s">
        <v>5</v>
      </c>
      <c r="I113" s="89">
        <f>IF(tblDetailHPP[[#This Row],[KODE KOMPONEN]]="","",IFERROR(INDEX(tbl_BahanBaku[HARGA PER SATUAN DASAR],MATCH(tblDetailHPP[[#This Row],[KODE KOMPONEN]],tbl_BahanBaku[KODE KOMPONEN],0)),""))</f>
        <v>71.666666666666671</v>
      </c>
      <c r="J113" s="89">
        <f>IF(tblDetailHPP[[#This Row],[KODE KOMPONEN]]="","",IF(tblDetailHPP[[#This Row],[STATUS HARGA]]="OK",ROUND(tblDetailHPP[[#This Row],[QTY PAKAI]]*tblDetailHPP[[#This Row],[HARGA PER SATUAN DASAR]],2),""))</f>
        <v>179.17</v>
      </c>
      <c r="K11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13" s="34">
        <f>IF(tblDetailHPP[[#This Row],[KODE PRODUK]]="",0,IFERROR(INDEX('PENJUALAN (QTY)'!$AH$3:$AH$500,MATCH(tblDetailHPP[[#This Row],[KODE PRODUK]],'PENJUALAN (QTY)'!$A$3:$A$500,0)),0))</f>
        <v>0</v>
      </c>
      <c r="M11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14" spans="1:13">
      <c r="A114" s="34" t="s">
        <v>186</v>
      </c>
      <c r="B114" s="34" t="str">
        <f>IFERROR(INDEX(tbl_Produk[NAMA PRODUK],MATCH(tblDetailHPP[[#This Row],[KODE PRODUK]],tbl_Produk[KODE PRODUK],0)),"")</f>
        <v>AYAM GEPREK S. MATAH + NASI</v>
      </c>
      <c r="C114" s="34" t="s">
        <v>354</v>
      </c>
      <c r="D114" s="34" t="s">
        <v>126</v>
      </c>
      <c r="E114" s="34" t="str">
        <f>IF(tblDetailHPP[[#This Row],[KODE KOMPONEN]]="","",IFERROR(INDEX(tbl_BahanBaku[KATEGORI HPP],MATCH(tblDetailHPP[[#This Row],[KODE KOMPONEN]],tbl_BahanBaku[KODE KOMPONEN],0)),""))</f>
        <v>BUMBU &amp; PELENGKAP</v>
      </c>
      <c r="F114" s="34" t="str">
        <f>IF(tblDetailHPP[[#This Row],[KODE KOMPONEN]]="","",IFERROR(INDEX(tbl_BahanBaku[NAMA KOMPONEN],MATCH(tblDetailHPP[[#This Row],[KODE KOMPONEN]],tbl_BahanBaku[KODE KOMPONEN],0)),""))</f>
        <v>CABAI RAWIT</v>
      </c>
      <c r="G114" s="88">
        <v>15.4</v>
      </c>
      <c r="H114" s="34" t="s">
        <v>5</v>
      </c>
      <c r="I114" s="89">
        <f>IF(tblDetailHPP[[#This Row],[KODE KOMPONEN]]="","",IFERROR(INDEX(tbl_BahanBaku[HARGA PER SATUAN DASAR],MATCH(tblDetailHPP[[#This Row],[KODE KOMPONEN]],tbl_BahanBaku[KODE KOMPONEN],0)),""))</f>
        <v>60</v>
      </c>
      <c r="J114" s="89">
        <f>IF(tblDetailHPP[[#This Row],[KODE KOMPONEN]]="","",IF(tblDetailHPP[[#This Row],[STATUS HARGA]]="OK",ROUND(tblDetailHPP[[#This Row],[QTY PAKAI]]*tblDetailHPP[[#This Row],[HARGA PER SATUAN DASAR]],2),""))</f>
        <v>924</v>
      </c>
      <c r="K11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14" s="34">
        <f>IF(tblDetailHPP[[#This Row],[KODE PRODUK]]="",0,IFERROR(INDEX('PENJUALAN (QTY)'!$AH$3:$AH$500,MATCH(tblDetailHPP[[#This Row],[KODE PRODUK]],'PENJUALAN (QTY)'!$A$3:$A$500,0)),0))</f>
        <v>0</v>
      </c>
      <c r="M11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15" spans="1:13">
      <c r="A115" s="34" t="s">
        <v>186</v>
      </c>
      <c r="B115" s="34" t="str">
        <f>IFERROR(INDEX(tbl_Produk[NAMA PRODUK],MATCH(tblDetailHPP[[#This Row],[KODE PRODUK]],tbl_Produk[KODE PRODUK],0)),"")</f>
        <v>AYAM GEPREK S. MATAH + NASI</v>
      </c>
      <c r="C115" s="34" t="s">
        <v>354</v>
      </c>
      <c r="D115" s="34" t="s">
        <v>130</v>
      </c>
      <c r="E115" s="34" t="str">
        <f>IF(tblDetailHPP[[#This Row],[KODE KOMPONEN]]="","",IFERROR(INDEX(tbl_BahanBaku[KATEGORI HPP],MATCH(tblDetailHPP[[#This Row],[KODE KOMPONEN]],tbl_BahanBaku[KODE KOMPONEN],0)),""))</f>
        <v>KEMASAN &amp; SUPPLIES</v>
      </c>
      <c r="F115" s="34" t="str">
        <f>IF(tblDetailHPP[[#This Row],[KODE KOMPONEN]]="","",IFERROR(INDEX(tbl_BahanBaku[NAMA KOMPONEN],MATCH(tblDetailHPP[[#This Row],[KODE KOMPONEN]],tbl_BahanBaku[KODE KOMPONEN],0)),""))</f>
        <v>CUP 60 ML</v>
      </c>
      <c r="G115" s="88">
        <v>1</v>
      </c>
      <c r="H115" s="34" t="s">
        <v>4</v>
      </c>
      <c r="I115" s="89">
        <f>IF(tblDetailHPP[[#This Row],[KODE KOMPONEN]]="","",IFERROR(INDEX(tbl_BahanBaku[HARGA PER SATUAN DASAR],MATCH(tblDetailHPP[[#This Row],[KODE KOMPONEN]],tbl_BahanBaku[KODE KOMPONEN],0)),""))</f>
        <v>300</v>
      </c>
      <c r="J115" s="89">
        <f>IF(tblDetailHPP[[#This Row],[KODE KOMPONEN]]="","",IF(tblDetailHPP[[#This Row],[STATUS HARGA]]="OK",ROUND(tblDetailHPP[[#This Row],[QTY PAKAI]]*tblDetailHPP[[#This Row],[HARGA PER SATUAN DASAR]],2),""))</f>
        <v>300</v>
      </c>
      <c r="K11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15" s="34">
        <f>IF(tblDetailHPP[[#This Row],[KODE PRODUK]]="",0,IFERROR(INDEX('PENJUALAN (QTY)'!$AH$3:$AH$500,MATCH(tblDetailHPP[[#This Row],[KODE PRODUK]],'PENJUALAN (QTY)'!$A$3:$A$500,0)),0))</f>
        <v>0</v>
      </c>
      <c r="M11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16" spans="1:13">
      <c r="A116" s="34" t="s">
        <v>186</v>
      </c>
      <c r="B116" s="34" t="str">
        <f>IFERROR(INDEX(tbl_Produk[NAMA PRODUK],MATCH(tblDetailHPP[[#This Row],[KODE PRODUK]],tbl_Produk[KODE PRODUK],0)),"")</f>
        <v>AYAM GEPREK S. MATAH + NASI</v>
      </c>
      <c r="C116" s="34" t="s">
        <v>354</v>
      </c>
      <c r="D116" s="34" t="s">
        <v>220</v>
      </c>
      <c r="E116" s="34" t="str">
        <f>IF(tblDetailHPP[[#This Row],[KODE KOMPONEN]]="","",IFERROR(INDEX(tbl_BahanBaku[KATEGORI HPP],MATCH(tblDetailHPP[[#This Row],[KODE KOMPONEN]],tbl_BahanBaku[KODE KOMPONEN],0)),""))</f>
        <v>BUMBU &amp; PELENGKAP</v>
      </c>
      <c r="F116" s="34" t="str">
        <f>IF(tblDetailHPP[[#This Row],[KODE KOMPONEN]]="","",IFERROR(INDEX(tbl_BahanBaku[NAMA KOMPONEN],MATCH(tblDetailHPP[[#This Row],[KODE KOMPONEN]],tbl_BahanBaku[KODE KOMPONEN],0)),""))</f>
        <v>DAUN JERUK</v>
      </c>
      <c r="G116" s="88">
        <v>1</v>
      </c>
      <c r="H116" s="34" t="s">
        <v>110</v>
      </c>
      <c r="I116" s="89">
        <f>IF(tblDetailHPP[[#This Row],[KODE KOMPONEN]]="","",IFERROR(INDEX(tbl_BahanBaku[HARGA PER SATUAN DASAR],MATCH(tblDetailHPP[[#This Row],[KODE KOMPONEN]],tbl_BahanBaku[KODE KOMPONEN],0)),""))</f>
        <v>40</v>
      </c>
      <c r="J116" s="89">
        <f>IF(tblDetailHPP[[#This Row],[KODE KOMPONEN]]="","",IF(tblDetailHPP[[#This Row],[STATUS HARGA]]="OK",ROUND(tblDetailHPP[[#This Row],[QTY PAKAI]]*tblDetailHPP[[#This Row],[HARGA PER SATUAN DASAR]],2),""))</f>
        <v>40</v>
      </c>
      <c r="K11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16" s="34">
        <f>IF(tblDetailHPP[[#This Row],[KODE PRODUK]]="",0,IFERROR(INDEX('PENJUALAN (QTY)'!$AH$3:$AH$500,MATCH(tblDetailHPP[[#This Row],[KODE PRODUK]],'PENJUALAN (QTY)'!$A$3:$A$500,0)),0))</f>
        <v>0</v>
      </c>
      <c r="M11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17" spans="1:13">
      <c r="A117" s="34" t="s">
        <v>186</v>
      </c>
      <c r="B117" s="34" t="str">
        <f>IFERROR(INDEX(tbl_Produk[NAMA PRODUK],MATCH(tblDetailHPP[[#This Row],[KODE PRODUK]],tbl_Produk[KODE PRODUK],0)),"")</f>
        <v>AYAM GEPREK S. MATAH + NASI</v>
      </c>
      <c r="C117" s="34" t="s">
        <v>354</v>
      </c>
      <c r="D117" s="34" t="s">
        <v>142</v>
      </c>
      <c r="E117" s="34" t="str">
        <f>IF(tblDetailHPP[[#This Row],[KODE KOMPONEN]]="","",IFERROR(INDEX(tbl_BahanBaku[KATEGORI HPP],MATCH(tblDetailHPP[[#This Row],[KODE KOMPONEN]],tbl_BahanBaku[KODE KOMPONEN],0)),""))</f>
        <v>OVERHEAD / OPERASIONAL</v>
      </c>
      <c r="F117" s="34" t="str">
        <f>IF(tblDetailHPP[[#This Row],[KODE KOMPONEN]]="","",IFERROR(INDEX(tbl_BahanBaku[NAMA KOMPONEN],MATCH(tblDetailHPP[[#This Row],[KODE KOMPONEN]],tbl_BahanBaku[KODE KOMPONEN],0)),""))</f>
        <v>KERTAS PRINTER</v>
      </c>
      <c r="G117" s="88">
        <v>15</v>
      </c>
      <c r="H117" s="34" t="s">
        <v>222</v>
      </c>
      <c r="I117" s="89">
        <f>IF(tblDetailHPP[[#This Row],[KODE KOMPONEN]]="","",IFERROR(INDEX(tbl_BahanBaku[HARGA PER SATUAN DASAR],MATCH(tblDetailHPP[[#This Row],[KODE KOMPONEN]],tbl_BahanBaku[KODE KOMPONEN],0)),""))</f>
        <v>5</v>
      </c>
      <c r="J117" s="89">
        <f>IF(tblDetailHPP[[#This Row],[KODE KOMPONEN]]="","",IF(tblDetailHPP[[#This Row],[STATUS HARGA]]="OK",ROUND(tblDetailHPP[[#This Row],[QTY PAKAI]]*tblDetailHPP[[#This Row],[HARGA PER SATUAN DASAR]],2),""))</f>
        <v>75</v>
      </c>
      <c r="K11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17" s="34">
        <f>IF(tblDetailHPP[[#This Row],[KODE PRODUK]]="",0,IFERROR(INDEX('PENJUALAN (QTY)'!$AH$3:$AH$500,MATCH(tblDetailHPP[[#This Row],[KODE PRODUK]],'PENJUALAN (QTY)'!$A$3:$A$500,0)),0))</f>
        <v>0</v>
      </c>
      <c r="M11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18" spans="1:13">
      <c r="A118" s="34" t="s">
        <v>186</v>
      </c>
      <c r="B118" s="34" t="str">
        <f>IFERROR(INDEX(tbl_Produk[NAMA PRODUK],MATCH(tblDetailHPP[[#This Row],[KODE PRODUK]],tbl_Produk[KODE PRODUK],0)),"")</f>
        <v>AYAM GEPREK S. MATAH + NASI</v>
      </c>
      <c r="C118" s="34" t="s">
        <v>354</v>
      </c>
      <c r="D118" s="34" t="s">
        <v>143</v>
      </c>
      <c r="E118" s="34" t="str">
        <f>IF(tblDetailHPP[[#This Row],[KODE KOMPONEN]]="","",IFERROR(INDEX(tbl_BahanBaku[KATEGORI HPP],MATCH(tblDetailHPP[[#This Row],[KODE KOMPONEN]],tbl_BahanBaku[KODE KOMPONEN],0)),""))</f>
        <v>OVERHEAD / OPERASIONAL</v>
      </c>
      <c r="F118" s="34" t="str">
        <f>IF(tblDetailHPP[[#This Row],[KODE KOMPONEN]]="","",IFERROR(INDEX(tbl_BahanBaku[NAMA KOMPONEN],MATCH(tblDetailHPP[[#This Row],[KODE KOMPONEN]],tbl_BahanBaku[KODE KOMPONEN],0)),""))</f>
        <v>LPG 3KG</v>
      </c>
      <c r="G118" s="88">
        <v>26</v>
      </c>
      <c r="H118" s="34" t="s">
        <v>5</v>
      </c>
      <c r="I118" s="89">
        <f>IF(tblDetailHPP[[#This Row],[KODE KOMPONEN]]="","",IFERROR(INDEX(tbl_BahanBaku[HARGA PER SATUAN DASAR],MATCH(tblDetailHPP[[#This Row],[KODE KOMPONEN]],tbl_BahanBaku[KODE KOMPONEN],0)),""))</f>
        <v>7.666666666666667</v>
      </c>
      <c r="J118" s="89">
        <f>IF(tblDetailHPP[[#This Row],[KODE KOMPONEN]]="","",IF(tblDetailHPP[[#This Row],[STATUS HARGA]]="OK",ROUND(tblDetailHPP[[#This Row],[QTY PAKAI]]*tblDetailHPP[[#This Row],[HARGA PER SATUAN DASAR]],2),""))</f>
        <v>199.33</v>
      </c>
      <c r="K11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18" s="34">
        <f>IF(tblDetailHPP[[#This Row],[KODE PRODUK]]="",0,IFERROR(INDEX('PENJUALAN (QTY)'!$AH$3:$AH$500,MATCH(tblDetailHPP[[#This Row],[KODE PRODUK]],'PENJUALAN (QTY)'!$A$3:$A$500,0)),0))</f>
        <v>0</v>
      </c>
      <c r="M11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19" spans="1:13">
      <c r="A119" s="34" t="s">
        <v>186</v>
      </c>
      <c r="B119" s="34" t="str">
        <f>IFERROR(INDEX(tbl_Produk[NAMA PRODUK],MATCH(tblDetailHPP[[#This Row],[KODE PRODUK]],tbl_Produk[KODE PRODUK],0)),"")</f>
        <v>AYAM GEPREK S. MATAH + NASI</v>
      </c>
      <c r="C119" s="34" t="s">
        <v>354</v>
      </c>
      <c r="D119" s="34" t="s">
        <v>145</v>
      </c>
      <c r="E119" s="34" t="str">
        <f>IF(tblDetailHPP[[#This Row],[KODE KOMPONEN]]="","",IFERROR(INDEX(tbl_BahanBaku[KATEGORI HPP],MATCH(tblDetailHPP[[#This Row],[KODE KOMPONEN]],tbl_BahanBaku[KODE KOMPONEN],0)),""))</f>
        <v>KEMASAN &amp; SUPPLIES</v>
      </c>
      <c r="F119" s="34" t="str">
        <f>IF(tblDetailHPP[[#This Row],[KODE KOMPONEN]]="","",IFERROR(INDEX(tbl_BahanBaku[NAMA KOMPONEN],MATCH(tblDetailHPP[[#This Row],[KODE KOMPONEN]],tbl_BahanBaku[KODE KOMPONEN],0)),""))</f>
        <v>LUNCHBOX M</v>
      </c>
      <c r="G119" s="88">
        <v>1</v>
      </c>
      <c r="H119" s="34" t="s">
        <v>4</v>
      </c>
      <c r="I119" s="89">
        <f>IF(tblDetailHPP[[#This Row],[KODE KOMPONEN]]="","",IFERROR(INDEX(tbl_BahanBaku[HARGA PER SATUAN DASAR],MATCH(tblDetailHPP[[#This Row],[KODE KOMPONEN]],tbl_BahanBaku[KODE KOMPONEN],0)),""))</f>
        <v>550</v>
      </c>
      <c r="J119" s="89">
        <f>IF(tblDetailHPP[[#This Row],[KODE KOMPONEN]]="","",IF(tblDetailHPP[[#This Row],[STATUS HARGA]]="OK",ROUND(tblDetailHPP[[#This Row],[QTY PAKAI]]*tblDetailHPP[[#This Row],[HARGA PER SATUAN DASAR]],2),""))</f>
        <v>550</v>
      </c>
      <c r="K11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19" s="34">
        <f>IF(tblDetailHPP[[#This Row],[KODE PRODUK]]="",0,IFERROR(INDEX('PENJUALAN (QTY)'!$AH$3:$AH$500,MATCH(tblDetailHPP[[#This Row],[KODE PRODUK]],'PENJUALAN (QTY)'!$A$3:$A$500,0)),0))</f>
        <v>0</v>
      </c>
      <c r="M11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20" spans="1:13">
      <c r="A120" s="34" t="s">
        <v>186</v>
      </c>
      <c r="B120" s="34" t="str">
        <f>IFERROR(INDEX(tbl_Produk[NAMA PRODUK],MATCH(tblDetailHPP[[#This Row],[KODE PRODUK]],tbl_Produk[KODE PRODUK],0)),"")</f>
        <v>AYAM GEPREK S. MATAH + NASI</v>
      </c>
      <c r="C120" s="34" t="s">
        <v>354</v>
      </c>
      <c r="D120" s="34" t="s">
        <v>150</v>
      </c>
      <c r="E120" s="34" t="str">
        <f>IF(tblDetailHPP[[#This Row],[KODE KOMPONEN]]="","",IFERROR(INDEX(tbl_BahanBaku[KATEGORI HPP],MATCH(tblDetailHPP[[#This Row],[KODE KOMPONEN]],tbl_BahanBaku[KODE KOMPONEN],0)),""))</f>
        <v>BUMBU &amp; PELENGKAP</v>
      </c>
      <c r="F120" s="34" t="str">
        <f>IF(tblDetailHPP[[#This Row],[KODE KOMPONEN]]="","",IFERROR(INDEX(tbl_BahanBaku[NAMA KOMPONEN],MATCH(tblDetailHPP[[#This Row],[KODE KOMPONEN]],tbl_BahanBaku[KODE KOMPONEN],0)),""))</f>
        <v>MINYAK</v>
      </c>
      <c r="G120" s="88">
        <v>60</v>
      </c>
      <c r="H120" s="34" t="s">
        <v>6</v>
      </c>
      <c r="I120" s="89">
        <f>IF(tblDetailHPP[[#This Row],[KODE KOMPONEN]]="","",IFERROR(INDEX(tbl_BahanBaku[HARGA PER SATUAN DASAR],MATCH(tblDetailHPP[[#This Row],[KODE KOMPONEN]],tbl_BahanBaku[KODE KOMPONEN],0)),""))</f>
        <v>23</v>
      </c>
      <c r="J120" s="89">
        <f>IF(tblDetailHPP[[#This Row],[KODE KOMPONEN]]="","",IF(tblDetailHPP[[#This Row],[STATUS HARGA]]="OK",ROUND(tblDetailHPP[[#This Row],[QTY PAKAI]]*tblDetailHPP[[#This Row],[HARGA PER SATUAN DASAR]],2),""))</f>
        <v>1380</v>
      </c>
      <c r="K12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20" s="34">
        <f>IF(tblDetailHPP[[#This Row],[KODE PRODUK]]="",0,IFERROR(INDEX('PENJUALAN (QTY)'!$AH$3:$AH$500,MATCH(tblDetailHPP[[#This Row],[KODE PRODUK]],'PENJUALAN (QTY)'!$A$3:$A$500,0)),0))</f>
        <v>0</v>
      </c>
      <c r="M12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21" spans="1:13">
      <c r="A121" s="34" t="s">
        <v>186</v>
      </c>
      <c r="B121" s="34" t="str">
        <f>IFERROR(INDEX(tbl_Produk[NAMA PRODUK],MATCH(tblDetailHPP[[#This Row],[KODE PRODUK]],tbl_Produk[KODE PRODUK],0)),"")</f>
        <v>AYAM GEPREK S. MATAH + NASI</v>
      </c>
      <c r="C121" s="34" t="s">
        <v>354</v>
      </c>
      <c r="D121" s="34" t="s">
        <v>156</v>
      </c>
      <c r="E121" s="34" t="str">
        <f>IF(tblDetailHPP[[#This Row],[KODE KOMPONEN]]="","",IFERROR(INDEX(tbl_BahanBaku[KATEGORI HPP],MATCH(tblDetailHPP[[#This Row],[KODE KOMPONEN]],tbl_BahanBaku[KODE KOMPONEN],0)),""))</f>
        <v>KEMASAN &amp; SUPPLIES</v>
      </c>
      <c r="F121" s="34" t="str">
        <f>IF(tblDetailHPP[[#This Row],[KODE KOMPONEN]]="","",IFERROR(INDEX(tbl_BahanBaku[NAMA KOMPONEN],MATCH(tblDetailHPP[[#This Row],[KODE KOMPONEN]],tbl_BahanBaku[KODE KOMPONEN],0)),""))</f>
        <v>PAPER RICE</v>
      </c>
      <c r="G121" s="88">
        <v>1</v>
      </c>
      <c r="H121" s="34" t="s">
        <v>76</v>
      </c>
      <c r="I121" s="89">
        <f>IF(tblDetailHPP[[#This Row],[KODE KOMPONEN]]="","",IFERROR(INDEX(tbl_BahanBaku[HARGA PER SATUAN DASAR],MATCH(tblDetailHPP[[#This Row],[KODE KOMPONEN]],tbl_BahanBaku[KODE KOMPONEN],0)),""))</f>
        <v>100</v>
      </c>
      <c r="J121" s="89">
        <f>IF(tblDetailHPP[[#This Row],[KODE KOMPONEN]]="","",IF(tblDetailHPP[[#This Row],[STATUS HARGA]]="OK",ROUND(tblDetailHPP[[#This Row],[QTY PAKAI]]*tblDetailHPP[[#This Row],[HARGA PER SATUAN DASAR]],2),""))</f>
        <v>100</v>
      </c>
      <c r="K12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21" s="34">
        <f>IF(tblDetailHPP[[#This Row],[KODE PRODUK]]="",0,IFERROR(INDEX('PENJUALAN (QTY)'!$AH$3:$AH$500,MATCH(tblDetailHPP[[#This Row],[KODE PRODUK]],'PENJUALAN (QTY)'!$A$3:$A$500,0)),0))</f>
        <v>0</v>
      </c>
      <c r="M12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22" spans="1:13">
      <c r="A122" s="34" t="s">
        <v>186</v>
      </c>
      <c r="B122" s="34" t="str">
        <f>IFERROR(INDEX(tbl_Produk[NAMA PRODUK],MATCH(tblDetailHPP[[#This Row],[KODE PRODUK]],tbl_Produk[KODE PRODUK],0)),"")</f>
        <v>AYAM GEPREK S. MATAH + NASI</v>
      </c>
      <c r="C122" s="34" t="s">
        <v>354</v>
      </c>
      <c r="D122" s="34" t="s">
        <v>159</v>
      </c>
      <c r="E122" s="34" t="str">
        <f>IF(tblDetailHPP[[#This Row],[KODE KOMPONEN]]="","",IFERROR(INDEX(tbl_BahanBaku[KATEGORI HPP],MATCH(tblDetailHPP[[#This Row],[KODE KOMPONEN]],tbl_BahanBaku[KODE KOMPONEN],0)),""))</f>
        <v>KEMASAN &amp; SUPPLIES</v>
      </c>
      <c r="F122" s="34" t="str">
        <f>IF(tblDetailHPP[[#This Row],[KODE KOMPONEN]]="","",IFERROR(INDEX(tbl_BahanBaku[NAMA KOMPONEN],MATCH(tblDetailHPP[[#This Row],[KODE KOMPONEN]],tbl_BahanBaku[KODE KOMPONEN],0)),""))</f>
        <v>PLASTIK UK. 21</v>
      </c>
      <c r="G122" s="88">
        <v>1</v>
      </c>
      <c r="H122" s="34" t="s">
        <v>4</v>
      </c>
      <c r="I122" s="89">
        <f>IF(tblDetailHPP[[#This Row],[KODE KOMPONEN]]="","",IFERROR(INDEX(tbl_BahanBaku[HARGA PER SATUAN DASAR],MATCH(tblDetailHPP[[#This Row],[KODE KOMPONEN]],tbl_BahanBaku[KODE KOMPONEN],0)),""))</f>
        <v>280</v>
      </c>
      <c r="J122" s="89">
        <f>IF(tblDetailHPP[[#This Row],[KODE KOMPONEN]]="","",IF(tblDetailHPP[[#This Row],[STATUS HARGA]]="OK",ROUND(tblDetailHPP[[#This Row],[QTY PAKAI]]*tblDetailHPP[[#This Row],[HARGA PER SATUAN DASAR]],2),""))</f>
        <v>280</v>
      </c>
      <c r="K12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22" s="34">
        <f>IF(tblDetailHPP[[#This Row],[KODE PRODUK]]="",0,IFERROR(INDEX('PENJUALAN (QTY)'!$AH$3:$AH$500,MATCH(tblDetailHPP[[#This Row],[KODE PRODUK]],'PENJUALAN (QTY)'!$A$3:$A$500,0)),0))</f>
        <v>0</v>
      </c>
      <c r="M12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23" spans="1:13">
      <c r="A123" s="34" t="s">
        <v>186</v>
      </c>
      <c r="B123" s="34" t="str">
        <f>IFERROR(INDEX(tbl_Produk[NAMA PRODUK],MATCH(tblDetailHPP[[#This Row],[KODE PRODUK]],tbl_Produk[KODE PRODUK],0)),"")</f>
        <v>AYAM GEPREK S. MATAH + NASI</v>
      </c>
      <c r="C123" s="34" t="s">
        <v>354</v>
      </c>
      <c r="D123" s="34" t="s">
        <v>218</v>
      </c>
      <c r="E123" s="34" t="str">
        <f>IF(tblDetailHPP[[#This Row],[KODE KOMPONEN]]="","",IFERROR(INDEX(tbl_BahanBaku[KATEGORI HPP],MATCH(tblDetailHPP[[#This Row],[KODE KOMPONEN]],tbl_BahanBaku[KODE KOMPONEN],0)),""))</f>
        <v>BUMBU &amp; PELENGKAP</v>
      </c>
      <c r="F123" s="34" t="str">
        <f>IF(tblDetailHPP[[#This Row],[KODE KOMPONEN]]="","",IFERROR(INDEX(tbl_BahanBaku[NAMA KOMPONEN],MATCH(tblDetailHPP[[#This Row],[KODE KOMPONEN]],tbl_BahanBaku[KODE KOMPONEN],0)),""))</f>
        <v>SEREH</v>
      </c>
      <c r="G123" s="88">
        <v>1</v>
      </c>
      <c r="H123" s="34" t="s">
        <v>110</v>
      </c>
      <c r="I123" s="89">
        <f>IF(tblDetailHPP[[#This Row],[KODE KOMPONEN]]="","",IFERROR(INDEX(tbl_BahanBaku[HARGA PER SATUAN DASAR],MATCH(tblDetailHPP[[#This Row],[KODE KOMPONEN]],tbl_BahanBaku[KODE KOMPONEN],0)),""))</f>
        <v>250</v>
      </c>
      <c r="J123" s="89">
        <f>IF(tblDetailHPP[[#This Row],[KODE KOMPONEN]]="","",IF(tblDetailHPP[[#This Row],[STATUS HARGA]]="OK",ROUND(tblDetailHPP[[#This Row],[QTY PAKAI]]*tblDetailHPP[[#This Row],[HARGA PER SATUAN DASAR]],2),""))</f>
        <v>250</v>
      </c>
      <c r="K12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23" s="34">
        <f>IF(tblDetailHPP[[#This Row],[KODE PRODUK]]="",0,IFERROR(INDEX('PENJUALAN (QTY)'!$AH$3:$AH$500,MATCH(tblDetailHPP[[#This Row],[KODE PRODUK]],'PENJUALAN (QTY)'!$A$3:$A$500,0)),0))</f>
        <v>0</v>
      </c>
      <c r="M12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24" spans="1:13">
      <c r="A124" s="34" t="s">
        <v>186</v>
      </c>
      <c r="B124" s="34" t="str">
        <f>IFERROR(INDEX(tbl_Produk[NAMA PRODUK],MATCH(tblDetailHPP[[#This Row],[KODE PRODUK]],tbl_Produk[KODE PRODUK],0)),"")</f>
        <v>AYAM GEPREK S. MATAH + NASI</v>
      </c>
      <c r="C124" s="34" t="s">
        <v>354</v>
      </c>
      <c r="D124" s="34" t="s">
        <v>170</v>
      </c>
      <c r="E124" s="34" t="str">
        <f>IF(tblDetailHPP[[#This Row],[KODE KOMPONEN]]="","",IFERROR(INDEX(tbl_BahanBaku[KATEGORI HPP],MATCH(tblDetailHPP[[#This Row],[KODE KOMPONEN]],tbl_BahanBaku[KODE KOMPONEN],0)),""))</f>
        <v>OVERHEAD / OPERASIONAL</v>
      </c>
      <c r="F124" s="34" t="str">
        <f>IF(tblDetailHPP[[#This Row],[KODE KOMPONEN]]="","",IFERROR(INDEX(tbl_BahanBaku[NAMA KOMPONEN],MATCH(tblDetailHPP[[#This Row],[KODE KOMPONEN]],tbl_BahanBaku[KODE KOMPONEN],0)),""))</f>
        <v>STICKER BRANDING</v>
      </c>
      <c r="G124" s="88">
        <v>1</v>
      </c>
      <c r="H124" s="34" t="s">
        <v>4</v>
      </c>
      <c r="I124" s="89">
        <f>IF(tblDetailHPP[[#This Row],[KODE KOMPONEN]]="","",IFERROR(INDEX(tbl_BahanBaku[HARGA PER SATUAN DASAR],MATCH(tblDetailHPP[[#This Row],[KODE KOMPONEN]],tbl_BahanBaku[KODE KOMPONEN],0)),""))</f>
        <v>129.87012987012986</v>
      </c>
      <c r="J124" s="89">
        <f>IF(tblDetailHPP[[#This Row],[KODE KOMPONEN]]="","",IF(tblDetailHPP[[#This Row],[STATUS HARGA]]="OK",ROUND(tblDetailHPP[[#This Row],[QTY PAKAI]]*tblDetailHPP[[#This Row],[HARGA PER SATUAN DASAR]],2),""))</f>
        <v>129.87</v>
      </c>
      <c r="K12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24" s="34">
        <f>IF(tblDetailHPP[[#This Row],[KODE PRODUK]]="",0,IFERROR(INDEX('PENJUALAN (QTY)'!$AH$3:$AH$500,MATCH(tblDetailHPP[[#This Row],[KODE PRODUK]],'PENJUALAN (QTY)'!$A$3:$A$500,0)),0))</f>
        <v>0</v>
      </c>
      <c r="M12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25" spans="1:13">
      <c r="A125" s="34" t="s">
        <v>186</v>
      </c>
      <c r="B125" s="34" t="str">
        <f>IFERROR(INDEX(tbl_Produk[NAMA PRODUK],MATCH(tblDetailHPP[[#This Row],[KODE PRODUK]],tbl_Produk[KODE PRODUK],0)),"")</f>
        <v>AYAM GEPREK S. MATAH + NASI</v>
      </c>
      <c r="C125" s="34" t="s">
        <v>354</v>
      </c>
      <c r="D125" s="34" t="s">
        <v>174</v>
      </c>
      <c r="E125" s="34" t="str">
        <f>IF(tblDetailHPP[[#This Row],[KODE KOMPONEN]]="","",IFERROR(INDEX(tbl_BahanBaku[KATEGORI HPP],MATCH(tblDetailHPP[[#This Row],[KODE KOMPONEN]],tbl_BahanBaku[KODE KOMPONEN],0)),""))</f>
        <v>BUMBU &amp; PELENGKAP</v>
      </c>
      <c r="F125" s="34" t="str">
        <f>IF(tblDetailHPP[[#This Row],[KODE KOMPONEN]]="","",IFERROR(INDEX(tbl_BahanBaku[NAMA KOMPONEN],MATCH(tblDetailHPP[[#This Row],[KODE KOMPONEN]],tbl_BahanBaku[KODE KOMPONEN],0)),""))</f>
        <v>TEPUNG TERIGU</v>
      </c>
      <c r="G125" s="88">
        <v>125</v>
      </c>
      <c r="H125" s="34" t="s">
        <v>5</v>
      </c>
      <c r="I125" s="89">
        <f>IF(tblDetailHPP[[#This Row],[KODE KOMPONEN]]="","",IFERROR(INDEX(tbl_BahanBaku[HARGA PER SATUAN DASAR],MATCH(tblDetailHPP[[#This Row],[KODE KOMPONEN]],tbl_BahanBaku[KODE KOMPONEN],0)),""))</f>
        <v>8</v>
      </c>
      <c r="J125" s="89">
        <f>IF(tblDetailHPP[[#This Row],[KODE KOMPONEN]]="","",IF(tblDetailHPP[[#This Row],[STATUS HARGA]]="OK",ROUND(tblDetailHPP[[#This Row],[QTY PAKAI]]*tblDetailHPP[[#This Row],[HARGA PER SATUAN DASAR]],2),""))</f>
        <v>1000</v>
      </c>
      <c r="K12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25" s="34">
        <f>IF(tblDetailHPP[[#This Row],[KODE PRODUK]]="",0,IFERROR(INDEX('PENJUALAN (QTY)'!$AH$3:$AH$500,MATCH(tblDetailHPP[[#This Row],[KODE PRODUK]],'PENJUALAN (QTY)'!$A$3:$A$500,0)),0))</f>
        <v>0</v>
      </c>
      <c r="M12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26" spans="1:13">
      <c r="A126" s="34" t="s">
        <v>186</v>
      </c>
      <c r="B126" s="34" t="str">
        <f>IFERROR(INDEX(tbl_Produk[NAMA PRODUK],MATCH(tblDetailHPP[[#This Row],[KODE PRODUK]],tbl_Produk[KODE PRODUK],0)),"")</f>
        <v>AYAM GEPREK S. MATAH + NASI</v>
      </c>
      <c r="C126" s="34" t="s">
        <v>354</v>
      </c>
      <c r="D126" s="34" t="s">
        <v>175</v>
      </c>
      <c r="E126" s="34" t="str">
        <f>IF(tblDetailHPP[[#This Row],[KODE KOMPONEN]]="","",IFERROR(INDEX(tbl_BahanBaku[KATEGORI HPP],MATCH(tblDetailHPP[[#This Row],[KODE KOMPONEN]],tbl_BahanBaku[KODE KOMPONEN],0)),""))</f>
        <v>BUMBU &amp; PELENGKAP</v>
      </c>
      <c r="F126" s="34" t="str">
        <f>IF(tblDetailHPP[[#This Row],[KODE KOMPONEN]]="","",IFERROR(INDEX(tbl_BahanBaku[NAMA KOMPONEN],MATCH(tblDetailHPP[[#This Row],[KODE KOMPONEN]],tbl_BahanBaku[KODE KOMPONEN],0)),""))</f>
        <v>TIMUN</v>
      </c>
      <c r="G126" s="88">
        <v>20</v>
      </c>
      <c r="H126" s="34" t="s">
        <v>5</v>
      </c>
      <c r="I126" s="89">
        <f>IF(tblDetailHPP[[#This Row],[KODE KOMPONEN]]="","",IFERROR(INDEX(tbl_BahanBaku[HARGA PER SATUAN DASAR],MATCH(tblDetailHPP[[#This Row],[KODE KOMPONEN]],tbl_BahanBaku[KODE KOMPONEN],0)),""))</f>
        <v>15</v>
      </c>
      <c r="J126" s="89">
        <f>IF(tblDetailHPP[[#This Row],[KODE KOMPONEN]]="","",IF(tblDetailHPP[[#This Row],[STATUS HARGA]]="OK",ROUND(tblDetailHPP[[#This Row],[QTY PAKAI]]*tblDetailHPP[[#This Row],[HARGA PER SATUAN DASAR]],2),""))</f>
        <v>300</v>
      </c>
      <c r="K12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26" s="34">
        <f>IF(tblDetailHPP[[#This Row],[KODE PRODUK]]="",0,IFERROR(INDEX('PENJUALAN (QTY)'!$AH$3:$AH$500,MATCH(tblDetailHPP[[#This Row],[KODE PRODUK]],'PENJUALAN (QTY)'!$A$3:$A$500,0)),0))</f>
        <v>0</v>
      </c>
      <c r="M12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27" spans="1:13">
      <c r="A127" s="34" t="s">
        <v>187</v>
      </c>
      <c r="B127" s="34" t="str">
        <f>IFERROR(INDEX(tbl_Produk[NAMA PRODUK],MATCH(tblDetailHPP[[#This Row],[KODE PRODUK]],tbl_Produk[KODE PRODUK],0)),"")</f>
        <v>AYAM SAUS BBQ</v>
      </c>
      <c r="C127" s="34" t="s">
        <v>354</v>
      </c>
      <c r="D127" s="34" t="s">
        <v>114</v>
      </c>
      <c r="E12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12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AYAM POTONG</v>
      </c>
      <c r="G127" s="88">
        <v>83.3</v>
      </c>
      <c r="H127" s="34" t="s">
        <v>5</v>
      </c>
      <c r="I12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26.5</v>
      </c>
      <c r="J127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12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27" s="34">
        <f>IF(tblDetailHPP[[#This Row],[KODE PRODUK]]="",0,IFERROR(INDEX('PENJUALAN (QTY)'!$AH$3:$AH$500,MATCH(tblDetailHPP[[#This Row],[KODE PRODUK]],'PENJUALAN (QTY)'!$A$3:$A$500,0)),0))</f>
        <v>5</v>
      </c>
      <c r="M12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11037.25</v>
      </c>
    </row>
    <row r="128" spans="1:13">
      <c r="A128" s="34" t="s">
        <v>187</v>
      </c>
      <c r="B128" s="34" t="str">
        <f>IFERROR(INDEX(tbl_Produk[NAMA PRODUK],MATCH(tblDetailHPP[[#This Row],[KODE PRODUK]],tbl_Produk[KODE PRODUK],0)),"")</f>
        <v>AYAM SAUS BBQ</v>
      </c>
      <c r="C128" s="34" t="s">
        <v>354</v>
      </c>
      <c r="D128" s="34" t="s">
        <v>119</v>
      </c>
      <c r="E12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2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PUTIH</v>
      </c>
      <c r="G128" s="88">
        <v>1.5</v>
      </c>
      <c r="H128" s="34" t="s">
        <v>5</v>
      </c>
      <c r="I12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128" s="89">
        <f>IF(tblDetailHPP[[#This Row],[KODE KOMPONEN]]="","",IF(tblDetailHPP[[#This Row],[STATUS HARGA]]="OK",ROUND(tblDetailHPP[[#This Row],[QTY PAKAI]]*tblDetailHPP[[#This Row],[HARGA PER SATUAN DASAR]],2),""))</f>
        <v>60</v>
      </c>
      <c r="K12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28" s="34">
        <f>IF(tblDetailHPP[[#This Row],[KODE PRODUK]]="",0,IFERROR(INDEX('PENJUALAN (QTY)'!$AH$3:$AH$500,MATCH(tblDetailHPP[[#This Row],[KODE PRODUK]],'PENJUALAN (QTY)'!$A$3:$A$500,0)),0))</f>
        <v>5</v>
      </c>
      <c r="M12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300</v>
      </c>
    </row>
    <row r="129" spans="1:13">
      <c r="A129" s="34" t="s">
        <v>187</v>
      </c>
      <c r="B129" s="34" t="str">
        <f>IFERROR(INDEX(tbl_Produk[NAMA PRODUK],MATCH(tblDetailHPP[[#This Row],[KODE PRODUK]],tbl_Produk[KODE PRODUK],0)),"")</f>
        <v>AYAM SAUS BBQ</v>
      </c>
      <c r="C129" s="34" t="s">
        <v>354</v>
      </c>
      <c r="D129" s="34" t="s">
        <v>121</v>
      </c>
      <c r="E12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2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BUMBU MARINASI</v>
      </c>
      <c r="G129" s="88">
        <v>2.5</v>
      </c>
      <c r="H129" s="34" t="s">
        <v>5</v>
      </c>
      <c r="I12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71.666666666666671</v>
      </c>
      <c r="J129" s="89">
        <f>IF(tblDetailHPP[[#This Row],[KODE KOMPONEN]]="","",IF(tblDetailHPP[[#This Row],[STATUS HARGA]]="OK",ROUND(tblDetailHPP[[#This Row],[QTY PAKAI]]*tblDetailHPP[[#This Row],[HARGA PER SATUAN DASAR]],2),""))</f>
        <v>179.17</v>
      </c>
      <c r="K12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29" s="34">
        <f>IF(tblDetailHPP[[#This Row],[KODE PRODUK]]="",0,IFERROR(INDEX('PENJUALAN (QTY)'!$AH$3:$AH$500,MATCH(tblDetailHPP[[#This Row],[KODE PRODUK]],'PENJUALAN (QTY)'!$A$3:$A$500,0)),0))</f>
        <v>5</v>
      </c>
      <c r="M12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895.84999999999991</v>
      </c>
    </row>
    <row r="130" spans="1:13">
      <c r="A130" s="34" t="s">
        <v>187</v>
      </c>
      <c r="B130" s="34" t="str">
        <f>IFERROR(INDEX(tbl_Produk[NAMA PRODUK],MATCH(tblDetailHPP[[#This Row],[KODE PRODUK]],tbl_Produk[KODE PRODUK],0)),"")</f>
        <v>AYAM SAUS BBQ</v>
      </c>
      <c r="C130" s="34" t="s">
        <v>354</v>
      </c>
      <c r="D130" s="34" t="s">
        <v>123</v>
      </c>
      <c r="E13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3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KERING</v>
      </c>
      <c r="G130" s="88">
        <v>1.7</v>
      </c>
      <c r="H130" s="34" t="s">
        <v>5</v>
      </c>
      <c r="I13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130" s="89">
        <f>IF(tblDetailHPP[[#This Row],[KODE KOMPONEN]]="","",IF(tblDetailHPP[[#This Row],[STATUS HARGA]]="OK",ROUND(tblDetailHPP[[#This Row],[QTY PAKAI]]*tblDetailHPP[[#This Row],[HARGA PER SATUAN DASAR]],2),""))</f>
        <v>170</v>
      </c>
      <c r="K13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30" s="34">
        <f>IF(tblDetailHPP[[#This Row],[KODE PRODUK]]="",0,IFERROR(INDEX('PENJUALAN (QTY)'!$AH$3:$AH$500,MATCH(tblDetailHPP[[#This Row],[KODE PRODUK]],'PENJUALAN (QTY)'!$A$3:$A$500,0)),0))</f>
        <v>5</v>
      </c>
      <c r="M13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850</v>
      </c>
    </row>
    <row r="131" spans="1:13">
      <c r="A131" s="34" t="s">
        <v>187</v>
      </c>
      <c r="B131" s="34" t="str">
        <f>IFERROR(INDEX(tbl_Produk[NAMA PRODUK],MATCH(tblDetailHPP[[#This Row],[KODE PRODUK]],tbl_Produk[KODE PRODUK],0)),"")</f>
        <v>AYAM SAUS BBQ</v>
      </c>
      <c r="C131" s="34" t="s">
        <v>354</v>
      </c>
      <c r="D131" s="34" t="s">
        <v>130</v>
      </c>
      <c r="E13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3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60 ML</v>
      </c>
      <c r="G131" s="88">
        <v>1</v>
      </c>
      <c r="H131" s="34" t="s">
        <v>4</v>
      </c>
      <c r="I13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</v>
      </c>
      <c r="J131" s="89">
        <f>IF(tblDetailHPP[[#This Row],[KODE KOMPONEN]]="","",IF(tblDetailHPP[[#This Row],[STATUS HARGA]]="OK",ROUND(tblDetailHPP[[#This Row],[QTY PAKAI]]*tblDetailHPP[[#This Row],[HARGA PER SATUAN DASAR]],2),""))</f>
        <v>300</v>
      </c>
      <c r="K13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31" s="34">
        <f>IF(tblDetailHPP[[#This Row],[KODE PRODUK]]="",0,IFERROR(INDEX('PENJUALAN (QTY)'!$AH$3:$AH$500,MATCH(tblDetailHPP[[#This Row],[KODE PRODUK]],'PENJUALAN (QTY)'!$A$3:$A$500,0)),0))</f>
        <v>5</v>
      </c>
      <c r="M13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1500</v>
      </c>
    </row>
    <row r="132" spans="1:13">
      <c r="A132" s="34" t="s">
        <v>187</v>
      </c>
      <c r="B132" s="34" t="str">
        <f>IFERROR(INDEX(tbl_Produk[NAMA PRODUK],MATCH(tblDetailHPP[[#This Row],[KODE PRODUK]],tbl_Produk[KODE PRODUK],0)),"")</f>
        <v>AYAM SAUS BBQ</v>
      </c>
      <c r="C132" s="34" t="s">
        <v>354</v>
      </c>
      <c r="D132" s="34" t="s">
        <v>135</v>
      </c>
      <c r="E13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3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GULA MERAH</v>
      </c>
      <c r="G132" s="88">
        <v>3.6</v>
      </c>
      <c r="H132" s="34" t="s">
        <v>5</v>
      </c>
      <c r="I13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</v>
      </c>
      <c r="J132" s="89">
        <f>IF(tblDetailHPP[[#This Row],[KODE KOMPONEN]]="","",IF(tblDetailHPP[[#This Row],[STATUS HARGA]]="OK",ROUND(tblDetailHPP[[#This Row],[QTY PAKAI]]*tblDetailHPP[[#This Row],[HARGA PER SATUAN DASAR]],2),""))</f>
        <v>86.4</v>
      </c>
      <c r="K13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32" s="34">
        <f>IF(tblDetailHPP[[#This Row],[KODE PRODUK]]="",0,IFERROR(INDEX('PENJUALAN (QTY)'!$AH$3:$AH$500,MATCH(tblDetailHPP[[#This Row],[KODE PRODUK]],'PENJUALAN (QTY)'!$A$3:$A$500,0)),0))</f>
        <v>5</v>
      </c>
      <c r="M13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432</v>
      </c>
    </row>
    <row r="133" spans="1:13">
      <c r="A133" s="34" t="s">
        <v>187</v>
      </c>
      <c r="B133" s="34" t="str">
        <f>IFERROR(INDEX(tbl_Produk[NAMA PRODUK],MATCH(tblDetailHPP[[#This Row],[KODE PRODUK]],tbl_Produk[KODE PRODUK],0)),"")</f>
        <v>AYAM SAUS BBQ</v>
      </c>
      <c r="C133" s="34" t="s">
        <v>354</v>
      </c>
      <c r="D133" s="34" t="s">
        <v>142</v>
      </c>
      <c r="E13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3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133" s="88">
        <v>15</v>
      </c>
      <c r="H133" s="34" t="s">
        <v>222</v>
      </c>
      <c r="I13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133" s="89">
        <f>IF(tblDetailHPP[[#This Row],[KODE KOMPONEN]]="","",IF(tblDetailHPP[[#This Row],[STATUS HARGA]]="OK",ROUND(tblDetailHPP[[#This Row],[QTY PAKAI]]*tblDetailHPP[[#This Row],[HARGA PER SATUAN DASAR]],2),""))</f>
        <v>75</v>
      </c>
      <c r="K13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33" s="34">
        <f>IF(tblDetailHPP[[#This Row],[KODE PRODUK]]="",0,IFERROR(INDEX('PENJUALAN (QTY)'!$AH$3:$AH$500,MATCH(tblDetailHPP[[#This Row],[KODE PRODUK]],'PENJUALAN (QTY)'!$A$3:$A$500,0)),0))</f>
        <v>5</v>
      </c>
      <c r="M13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375</v>
      </c>
    </row>
    <row r="134" spans="1:13">
      <c r="A134" s="34" t="s">
        <v>187</v>
      </c>
      <c r="B134" s="34" t="str">
        <f>IFERROR(INDEX(tbl_Produk[NAMA PRODUK],MATCH(tblDetailHPP[[#This Row],[KODE PRODUK]],tbl_Produk[KODE PRODUK],0)),"")</f>
        <v>AYAM SAUS BBQ</v>
      </c>
      <c r="C134" s="34" t="s">
        <v>354</v>
      </c>
      <c r="D134" s="34" t="s">
        <v>143</v>
      </c>
      <c r="E13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3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134" s="88">
        <v>13</v>
      </c>
      <c r="H134" s="34" t="s">
        <v>5</v>
      </c>
      <c r="I13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134" s="89">
        <f>IF(tblDetailHPP[[#This Row],[KODE KOMPONEN]]="","",IF(tblDetailHPP[[#This Row],[STATUS HARGA]]="OK",ROUND(tblDetailHPP[[#This Row],[QTY PAKAI]]*tblDetailHPP[[#This Row],[HARGA PER SATUAN DASAR]],2),""))</f>
        <v>99.67</v>
      </c>
      <c r="K13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34" s="34">
        <f>IF(tblDetailHPP[[#This Row],[KODE PRODUK]]="",0,IFERROR(INDEX('PENJUALAN (QTY)'!$AH$3:$AH$500,MATCH(tblDetailHPP[[#This Row],[KODE PRODUK]],'PENJUALAN (QTY)'!$A$3:$A$500,0)),0))</f>
        <v>5</v>
      </c>
      <c r="M13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498.35</v>
      </c>
    </row>
    <row r="135" spans="1:13">
      <c r="A135" s="34" t="s">
        <v>187</v>
      </c>
      <c r="B135" s="34" t="str">
        <f>IFERROR(INDEX(tbl_Produk[NAMA PRODUK],MATCH(tblDetailHPP[[#This Row],[KODE PRODUK]],tbl_Produk[KODE PRODUK],0)),"")</f>
        <v>AYAM SAUS BBQ</v>
      </c>
      <c r="C135" s="34" t="s">
        <v>354</v>
      </c>
      <c r="D135" s="34" t="s">
        <v>146</v>
      </c>
      <c r="E13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3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LUNCHBOX S</v>
      </c>
      <c r="G135" s="88">
        <v>1</v>
      </c>
      <c r="H135" s="34" t="s">
        <v>4</v>
      </c>
      <c r="I13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450</v>
      </c>
      <c r="J135" s="89">
        <f>IF(tblDetailHPP[[#This Row],[KODE KOMPONEN]]="","",IF(tblDetailHPP[[#This Row],[STATUS HARGA]]="OK",ROUND(tblDetailHPP[[#This Row],[QTY PAKAI]]*tblDetailHPP[[#This Row],[HARGA PER SATUAN DASAR]],2),""))</f>
        <v>450</v>
      </c>
      <c r="K13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35" s="34">
        <f>IF(tblDetailHPP[[#This Row],[KODE PRODUK]]="",0,IFERROR(INDEX('PENJUALAN (QTY)'!$AH$3:$AH$500,MATCH(tblDetailHPP[[#This Row],[KODE PRODUK]],'PENJUALAN (QTY)'!$A$3:$A$500,0)),0))</f>
        <v>5</v>
      </c>
      <c r="M13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2250</v>
      </c>
    </row>
    <row r="136" spans="1:13">
      <c r="A136" s="34" t="s">
        <v>187</v>
      </c>
      <c r="B136" s="34" t="str">
        <f>IFERROR(INDEX(tbl_Produk[NAMA PRODUK],MATCH(tblDetailHPP[[#This Row],[KODE PRODUK]],tbl_Produk[KODE PRODUK],0)),"")</f>
        <v>AYAM SAUS BBQ</v>
      </c>
      <c r="C136" s="34" t="s">
        <v>354</v>
      </c>
      <c r="D136" s="34" t="s">
        <v>150</v>
      </c>
      <c r="E13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3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136" s="88">
        <v>50</v>
      </c>
      <c r="H136" s="34" t="s">
        <v>6</v>
      </c>
      <c r="I13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136" s="89">
        <f>IF(tblDetailHPP[[#This Row],[KODE KOMPONEN]]="","",IF(tblDetailHPP[[#This Row],[STATUS HARGA]]="OK",ROUND(tblDetailHPP[[#This Row],[QTY PAKAI]]*tblDetailHPP[[#This Row],[HARGA PER SATUAN DASAR]],2),""))</f>
        <v>1150</v>
      </c>
      <c r="K13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36" s="34">
        <f>IF(tblDetailHPP[[#This Row],[KODE PRODUK]]="",0,IFERROR(INDEX('PENJUALAN (QTY)'!$AH$3:$AH$500,MATCH(tblDetailHPP[[#This Row],[KODE PRODUK]],'PENJUALAN (QTY)'!$A$3:$A$500,0)),0))</f>
        <v>5</v>
      </c>
      <c r="M13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5750</v>
      </c>
    </row>
    <row r="137" spans="1:13">
      <c r="A137" s="34" t="s">
        <v>187</v>
      </c>
      <c r="B137" s="34" t="str">
        <f>IFERROR(INDEX(tbl_Produk[NAMA PRODUK],MATCH(tblDetailHPP[[#This Row],[KODE PRODUK]],tbl_Produk[KODE PRODUK],0)),"")</f>
        <v>AYAM SAUS BBQ</v>
      </c>
      <c r="C137" s="34" t="s">
        <v>354</v>
      </c>
      <c r="D137" s="34" t="s">
        <v>152</v>
      </c>
      <c r="E13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3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NANAS</v>
      </c>
      <c r="G137" s="88">
        <v>1</v>
      </c>
      <c r="H137" s="34" t="s">
        <v>110</v>
      </c>
      <c r="I13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142.85714285714286</v>
      </c>
      <c r="J137" s="89">
        <f>IF(tblDetailHPP[[#This Row],[KODE KOMPONEN]]="","",IF(tblDetailHPP[[#This Row],[STATUS HARGA]]="OK",ROUND(tblDetailHPP[[#This Row],[QTY PAKAI]]*tblDetailHPP[[#This Row],[HARGA PER SATUAN DASAR]],2),""))</f>
        <v>142.86000000000001</v>
      </c>
      <c r="K13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37" s="34">
        <f>IF(tblDetailHPP[[#This Row],[KODE PRODUK]]="",0,IFERROR(INDEX('PENJUALAN (QTY)'!$AH$3:$AH$500,MATCH(tblDetailHPP[[#This Row],[KODE PRODUK]],'PENJUALAN (QTY)'!$A$3:$A$500,0)),0))</f>
        <v>5</v>
      </c>
      <c r="M13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714.30000000000007</v>
      </c>
    </row>
    <row r="138" spans="1:13">
      <c r="A138" s="34" t="s">
        <v>187</v>
      </c>
      <c r="B138" s="34" t="str">
        <f>IFERROR(INDEX(tbl_Produk[NAMA PRODUK],MATCH(tblDetailHPP[[#This Row],[KODE PRODUK]],tbl_Produk[KODE PRODUK],0)),"")</f>
        <v>AYAM SAUS BBQ</v>
      </c>
      <c r="C138" s="34" t="s">
        <v>354</v>
      </c>
      <c r="D138" s="34" t="s">
        <v>158</v>
      </c>
      <c r="E13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3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138" s="88">
        <v>1</v>
      </c>
      <c r="H138" s="34" t="s">
        <v>4</v>
      </c>
      <c r="I13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138" s="89">
        <f>IF(tblDetailHPP[[#This Row],[KODE KOMPONEN]]="","",IF(tblDetailHPP[[#This Row],[STATUS HARGA]]="OK",ROUND(tblDetailHPP[[#This Row],[QTY PAKAI]]*tblDetailHPP[[#This Row],[HARGA PER SATUAN DASAR]],2),""))</f>
        <v>280</v>
      </c>
      <c r="K13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38" s="34">
        <f>IF(tblDetailHPP[[#This Row],[KODE PRODUK]]="",0,IFERROR(INDEX('PENJUALAN (QTY)'!$AH$3:$AH$500,MATCH(tblDetailHPP[[#This Row],[KODE PRODUK]],'PENJUALAN (QTY)'!$A$3:$A$500,0)),0))</f>
        <v>5</v>
      </c>
      <c r="M13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1400</v>
      </c>
    </row>
    <row r="139" spans="1:13">
      <c r="A139" s="34" t="s">
        <v>187</v>
      </c>
      <c r="B139" s="34" t="str">
        <f>IFERROR(INDEX(tbl_Produk[NAMA PRODUK],MATCH(tblDetailHPP[[#This Row],[KODE PRODUK]],tbl_Produk[KODE PRODUK],0)),"")</f>
        <v>AYAM SAUS BBQ</v>
      </c>
      <c r="C139" s="34" t="s">
        <v>354</v>
      </c>
      <c r="D139" s="34" t="s">
        <v>163</v>
      </c>
      <c r="E13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3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PASTA BBQ</v>
      </c>
      <c r="G139" s="88">
        <v>14.3</v>
      </c>
      <c r="H139" s="34" t="s">
        <v>6</v>
      </c>
      <c r="I13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31</v>
      </c>
      <c r="J139" s="89">
        <f>IF(tblDetailHPP[[#This Row],[KODE KOMPONEN]]="","",IF(tblDetailHPP[[#This Row],[STATUS HARGA]]="OK",ROUND(tblDetailHPP[[#This Row],[QTY PAKAI]]*tblDetailHPP[[#This Row],[HARGA PER SATUAN DASAR]],2),""))</f>
        <v>443.3</v>
      </c>
      <c r="K13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39" s="34">
        <f>IF(tblDetailHPP[[#This Row],[KODE PRODUK]]="",0,IFERROR(INDEX('PENJUALAN (QTY)'!$AH$3:$AH$500,MATCH(tblDetailHPP[[#This Row],[KODE PRODUK]],'PENJUALAN (QTY)'!$A$3:$A$500,0)),0))</f>
        <v>5</v>
      </c>
      <c r="M13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2216.5</v>
      </c>
    </row>
    <row r="140" spans="1:13">
      <c r="A140" s="34" t="s">
        <v>187</v>
      </c>
      <c r="B140" s="34" t="str">
        <f>IFERROR(INDEX(tbl_Produk[NAMA PRODUK],MATCH(tblDetailHPP[[#This Row],[KODE PRODUK]],tbl_Produk[KODE PRODUK],0)),"")</f>
        <v>AYAM SAUS BBQ</v>
      </c>
      <c r="C140" s="34" t="s">
        <v>354</v>
      </c>
      <c r="D140" s="34" t="s">
        <v>166</v>
      </c>
      <c r="E14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4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TOMAT POUCH</v>
      </c>
      <c r="G140" s="88">
        <v>14.3</v>
      </c>
      <c r="H140" s="34" t="s">
        <v>6</v>
      </c>
      <c r="I14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17</v>
      </c>
      <c r="J140" s="89">
        <f>IF(tblDetailHPP[[#This Row],[KODE KOMPONEN]]="","",IF(tblDetailHPP[[#This Row],[STATUS HARGA]]="OK",ROUND(tblDetailHPP[[#This Row],[QTY PAKAI]]*tblDetailHPP[[#This Row],[HARGA PER SATUAN DASAR]],2),""))</f>
        <v>243.1</v>
      </c>
      <c r="K14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40" s="34">
        <f>IF(tblDetailHPP[[#This Row],[KODE PRODUK]]="",0,IFERROR(INDEX('PENJUALAN (QTY)'!$AH$3:$AH$500,MATCH(tblDetailHPP[[#This Row],[KODE PRODUK]],'PENJUALAN (QTY)'!$A$3:$A$500,0)),0))</f>
        <v>5</v>
      </c>
      <c r="M14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1215.5</v>
      </c>
    </row>
    <row r="141" spans="1:13">
      <c r="A141" s="34" t="s">
        <v>187</v>
      </c>
      <c r="B141" s="34" t="str">
        <f>IFERROR(INDEX(tbl_Produk[NAMA PRODUK],MATCH(tblDetailHPP[[#This Row],[KODE PRODUK]],tbl_Produk[KODE PRODUK],0)),"")</f>
        <v>AYAM SAUS BBQ</v>
      </c>
      <c r="C141" s="34" t="s">
        <v>354</v>
      </c>
      <c r="D141" s="34" t="s">
        <v>168</v>
      </c>
      <c r="E14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4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SMOKE LIQUID</v>
      </c>
      <c r="G141" s="88">
        <v>0.2</v>
      </c>
      <c r="H141" s="34" t="s">
        <v>5</v>
      </c>
      <c r="I14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244</v>
      </c>
      <c r="J141" s="89">
        <f>IF(tblDetailHPP[[#This Row],[KODE KOMPONEN]]="","",IF(tblDetailHPP[[#This Row],[STATUS HARGA]]="OK",ROUND(tblDetailHPP[[#This Row],[QTY PAKAI]]*tblDetailHPP[[#This Row],[HARGA PER SATUAN DASAR]],2),""))</f>
        <v>48.8</v>
      </c>
      <c r="K14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41" s="34">
        <f>IF(tblDetailHPP[[#This Row],[KODE PRODUK]]="",0,IFERROR(INDEX('PENJUALAN (QTY)'!$AH$3:$AH$500,MATCH(tblDetailHPP[[#This Row],[KODE PRODUK]],'PENJUALAN (QTY)'!$A$3:$A$500,0)),0))</f>
        <v>5</v>
      </c>
      <c r="M14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244</v>
      </c>
    </row>
    <row r="142" spans="1:13">
      <c r="A142" s="34" t="s">
        <v>187</v>
      </c>
      <c r="B142" s="34" t="str">
        <f>IFERROR(INDEX(tbl_Produk[NAMA PRODUK],MATCH(tblDetailHPP[[#This Row],[KODE PRODUK]],tbl_Produk[KODE PRODUK],0)),"")</f>
        <v>AYAM SAUS BBQ</v>
      </c>
      <c r="C142" s="34" t="s">
        <v>354</v>
      </c>
      <c r="D142" s="34" t="s">
        <v>170</v>
      </c>
      <c r="E14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4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142" s="88">
        <v>1</v>
      </c>
      <c r="H142" s="34" t="s">
        <v>4</v>
      </c>
      <c r="I14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142" s="89">
        <f>IF(tblDetailHPP[[#This Row],[KODE KOMPONEN]]="","",IF(tblDetailHPP[[#This Row],[STATUS HARGA]]="OK",ROUND(tblDetailHPP[[#This Row],[QTY PAKAI]]*tblDetailHPP[[#This Row],[HARGA PER SATUAN DASAR]],2),""))</f>
        <v>129.87</v>
      </c>
      <c r="K14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42" s="34">
        <f>IF(tblDetailHPP[[#This Row],[KODE PRODUK]]="",0,IFERROR(INDEX('PENJUALAN (QTY)'!$AH$3:$AH$500,MATCH(tblDetailHPP[[#This Row],[KODE PRODUK]],'PENJUALAN (QTY)'!$A$3:$A$500,0)),0))</f>
        <v>5</v>
      </c>
      <c r="M14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649.35</v>
      </c>
    </row>
    <row r="143" spans="1:13">
      <c r="A143" s="34" t="s">
        <v>187</v>
      </c>
      <c r="B143" s="34" t="str">
        <f>IFERROR(INDEX(tbl_Produk[NAMA PRODUK],MATCH(tblDetailHPP[[#This Row],[KODE PRODUK]],tbl_Produk[KODE PRODUK],0)),"")</f>
        <v>AYAM SAUS BBQ</v>
      </c>
      <c r="C143" s="34" t="s">
        <v>354</v>
      </c>
      <c r="D143" s="34" t="s">
        <v>174</v>
      </c>
      <c r="E14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4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TEPUNG TERIGU</v>
      </c>
      <c r="G143" s="88">
        <v>125</v>
      </c>
      <c r="H143" s="34" t="s">
        <v>5</v>
      </c>
      <c r="I14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8</v>
      </c>
      <c r="J143" s="89">
        <f>IF(tblDetailHPP[[#This Row],[KODE KOMPONEN]]="","",IF(tblDetailHPP[[#This Row],[STATUS HARGA]]="OK",ROUND(tblDetailHPP[[#This Row],[QTY PAKAI]]*tblDetailHPP[[#This Row],[HARGA PER SATUAN DASAR]],2),""))</f>
        <v>1000</v>
      </c>
      <c r="K14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43" s="34">
        <f>IF(tblDetailHPP[[#This Row],[KODE PRODUK]]="",0,IFERROR(INDEX('PENJUALAN (QTY)'!$AH$3:$AH$500,MATCH(tblDetailHPP[[#This Row],[KODE PRODUK]],'PENJUALAN (QTY)'!$A$3:$A$500,0)),0))</f>
        <v>5</v>
      </c>
      <c r="M14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5000</v>
      </c>
    </row>
    <row r="144" spans="1:13">
      <c r="A144" s="34" t="s">
        <v>187</v>
      </c>
      <c r="B144" s="34" t="str">
        <f>IFERROR(INDEX(tbl_Produk[NAMA PRODUK],MATCH(tblDetailHPP[[#This Row],[KODE PRODUK]],tbl_Produk[KODE PRODUK],0)),"")</f>
        <v>AYAM SAUS BBQ</v>
      </c>
      <c r="C144" s="34" t="s">
        <v>354</v>
      </c>
      <c r="D144" s="34" t="s">
        <v>177</v>
      </c>
      <c r="E14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4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BBQ POWDER</v>
      </c>
      <c r="G144" s="88">
        <v>2.9</v>
      </c>
      <c r="H144" s="34" t="s">
        <v>5</v>
      </c>
      <c r="I14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144" s="89">
        <f>IF(tblDetailHPP[[#This Row],[KODE KOMPONEN]]="","",IF(tblDetailHPP[[#This Row],[STATUS HARGA]]="OK",ROUND(tblDetailHPP[[#This Row],[QTY PAKAI]]*tblDetailHPP[[#This Row],[HARGA PER SATUAN DASAR]],2),""))</f>
        <v>174</v>
      </c>
      <c r="K14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44" s="34">
        <f>IF(tblDetailHPP[[#This Row],[KODE PRODUK]]="",0,IFERROR(INDEX('PENJUALAN (QTY)'!$AH$3:$AH$500,MATCH(tblDetailHPP[[#This Row],[KODE PRODUK]],'PENJUALAN (QTY)'!$A$3:$A$500,0)),0))</f>
        <v>5</v>
      </c>
      <c r="M14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870</v>
      </c>
    </row>
    <row r="145" spans="1:13">
      <c r="A145" s="34" t="s">
        <v>188</v>
      </c>
      <c r="B145" s="34" t="str">
        <f>IFERROR(INDEX(tbl_Produk[NAMA PRODUK],MATCH(tblDetailHPP[[#This Row],[KODE PRODUK]],tbl_Produk[KODE PRODUK],0)),"")</f>
        <v>AYAM SAUS BBQ + NASI</v>
      </c>
      <c r="C145" s="34" t="s">
        <v>354</v>
      </c>
      <c r="D145" s="34" t="s">
        <v>114</v>
      </c>
      <c r="E14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14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AYAM POTONG</v>
      </c>
      <c r="G145" s="88">
        <v>83.3</v>
      </c>
      <c r="H145" s="34" t="s">
        <v>5</v>
      </c>
      <c r="I14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26.5</v>
      </c>
      <c r="J145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14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45" s="34">
        <f>IF(tblDetailHPP[[#This Row],[KODE PRODUK]]="",0,IFERROR(INDEX('PENJUALAN (QTY)'!$AH$3:$AH$500,MATCH(tblDetailHPP[[#This Row],[KODE PRODUK]],'PENJUALAN (QTY)'!$A$3:$A$500,0)),0))</f>
        <v>3</v>
      </c>
      <c r="M14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6622.3499999999995</v>
      </c>
    </row>
    <row r="146" spans="1:13">
      <c r="A146" s="34" t="s">
        <v>188</v>
      </c>
      <c r="B146" s="34" t="str">
        <f>IFERROR(INDEX(tbl_Produk[NAMA PRODUK],MATCH(tblDetailHPP[[#This Row],[KODE PRODUK]],tbl_Produk[KODE PRODUK],0)),"")</f>
        <v>AYAM SAUS BBQ + NASI</v>
      </c>
      <c r="C146" s="34" t="s">
        <v>354</v>
      </c>
      <c r="D146" s="34" t="s">
        <v>119</v>
      </c>
      <c r="E14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4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PUTIH</v>
      </c>
      <c r="G146" s="88">
        <v>1.5</v>
      </c>
      <c r="H146" s="34" t="s">
        <v>5</v>
      </c>
      <c r="I14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146" s="89">
        <f>IF(tblDetailHPP[[#This Row],[KODE KOMPONEN]]="","",IF(tblDetailHPP[[#This Row],[STATUS HARGA]]="OK",ROUND(tblDetailHPP[[#This Row],[QTY PAKAI]]*tblDetailHPP[[#This Row],[HARGA PER SATUAN DASAR]],2),""))</f>
        <v>60</v>
      </c>
      <c r="K14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46" s="34">
        <f>IF(tblDetailHPP[[#This Row],[KODE PRODUK]]="",0,IFERROR(INDEX('PENJUALAN (QTY)'!$AH$3:$AH$500,MATCH(tblDetailHPP[[#This Row],[KODE PRODUK]],'PENJUALAN (QTY)'!$A$3:$A$500,0)),0))</f>
        <v>3</v>
      </c>
      <c r="M14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180</v>
      </c>
    </row>
    <row r="147" spans="1:13">
      <c r="A147" s="34" t="s">
        <v>188</v>
      </c>
      <c r="B147" s="34" t="str">
        <f>IFERROR(INDEX(tbl_Produk[NAMA PRODUK],MATCH(tblDetailHPP[[#This Row],[KODE PRODUK]],tbl_Produk[KODE PRODUK],0)),"")</f>
        <v>AYAM SAUS BBQ + NASI</v>
      </c>
      <c r="C147" s="34" t="s">
        <v>354</v>
      </c>
      <c r="D147" s="34" t="s">
        <v>120</v>
      </c>
      <c r="E14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14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BERAS</v>
      </c>
      <c r="G147" s="88">
        <v>76.900000000000006</v>
      </c>
      <c r="H147" s="34" t="s">
        <v>5</v>
      </c>
      <c r="I14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14</v>
      </c>
      <c r="J147" s="89">
        <f>IF(tblDetailHPP[[#This Row],[KODE KOMPONEN]]="","",IF(tblDetailHPP[[#This Row],[STATUS HARGA]]="OK",ROUND(tblDetailHPP[[#This Row],[QTY PAKAI]]*tblDetailHPP[[#This Row],[HARGA PER SATUAN DASAR]],2),""))</f>
        <v>1076.5999999999999</v>
      </c>
      <c r="K14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47" s="34">
        <f>IF(tblDetailHPP[[#This Row],[KODE PRODUK]]="",0,IFERROR(INDEX('PENJUALAN (QTY)'!$AH$3:$AH$500,MATCH(tblDetailHPP[[#This Row],[KODE PRODUK]],'PENJUALAN (QTY)'!$A$3:$A$500,0)),0))</f>
        <v>3</v>
      </c>
      <c r="M14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3229.7999999999997</v>
      </c>
    </row>
    <row r="148" spans="1:13">
      <c r="A148" s="34" t="s">
        <v>188</v>
      </c>
      <c r="B148" s="34" t="str">
        <f>IFERROR(INDEX(tbl_Produk[NAMA PRODUK],MATCH(tblDetailHPP[[#This Row],[KODE PRODUK]],tbl_Produk[KODE PRODUK],0)),"")</f>
        <v>AYAM SAUS BBQ + NASI</v>
      </c>
      <c r="C148" s="34" t="s">
        <v>354</v>
      </c>
      <c r="D148" s="34" t="s">
        <v>121</v>
      </c>
      <c r="E14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4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BUMBU MARINASI</v>
      </c>
      <c r="G148" s="88">
        <v>2.5</v>
      </c>
      <c r="H148" s="34" t="s">
        <v>5</v>
      </c>
      <c r="I14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71.666666666666671</v>
      </c>
      <c r="J148" s="89">
        <f>IF(tblDetailHPP[[#This Row],[KODE KOMPONEN]]="","",IF(tblDetailHPP[[#This Row],[STATUS HARGA]]="OK",ROUND(tblDetailHPP[[#This Row],[QTY PAKAI]]*tblDetailHPP[[#This Row],[HARGA PER SATUAN DASAR]],2),""))</f>
        <v>179.17</v>
      </c>
      <c r="K14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48" s="34">
        <f>IF(tblDetailHPP[[#This Row],[KODE PRODUK]]="",0,IFERROR(INDEX('PENJUALAN (QTY)'!$AH$3:$AH$500,MATCH(tblDetailHPP[[#This Row],[KODE PRODUK]],'PENJUALAN (QTY)'!$A$3:$A$500,0)),0))</f>
        <v>3</v>
      </c>
      <c r="M14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537.51</v>
      </c>
    </row>
    <row r="149" spans="1:13">
      <c r="A149" s="34" t="s">
        <v>188</v>
      </c>
      <c r="B149" s="34" t="str">
        <f>IFERROR(INDEX(tbl_Produk[NAMA PRODUK],MATCH(tblDetailHPP[[#This Row],[KODE PRODUK]],tbl_Produk[KODE PRODUK],0)),"")</f>
        <v>AYAM SAUS BBQ + NASI</v>
      </c>
      <c r="C149" s="34" t="s">
        <v>354</v>
      </c>
      <c r="D149" s="34" t="s">
        <v>123</v>
      </c>
      <c r="E14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4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KERING</v>
      </c>
      <c r="G149" s="88">
        <v>1.7</v>
      </c>
      <c r="H149" s="34" t="s">
        <v>5</v>
      </c>
      <c r="I14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149" s="89">
        <f>IF(tblDetailHPP[[#This Row],[KODE KOMPONEN]]="","",IF(tblDetailHPP[[#This Row],[STATUS HARGA]]="OK",ROUND(tblDetailHPP[[#This Row],[QTY PAKAI]]*tblDetailHPP[[#This Row],[HARGA PER SATUAN DASAR]],2),""))</f>
        <v>170</v>
      </c>
      <c r="K14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49" s="34">
        <f>IF(tblDetailHPP[[#This Row],[KODE PRODUK]]="",0,IFERROR(INDEX('PENJUALAN (QTY)'!$AH$3:$AH$500,MATCH(tblDetailHPP[[#This Row],[KODE PRODUK]],'PENJUALAN (QTY)'!$A$3:$A$500,0)),0))</f>
        <v>3</v>
      </c>
      <c r="M14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510</v>
      </c>
    </row>
    <row r="150" spans="1:13">
      <c r="A150" s="34" t="s">
        <v>188</v>
      </c>
      <c r="B150" s="34" t="str">
        <f>IFERROR(INDEX(tbl_Produk[NAMA PRODUK],MATCH(tblDetailHPP[[#This Row],[KODE PRODUK]],tbl_Produk[KODE PRODUK],0)),"")</f>
        <v>AYAM SAUS BBQ + NASI</v>
      </c>
      <c r="C150" s="34" t="s">
        <v>354</v>
      </c>
      <c r="D150" s="34" t="s">
        <v>130</v>
      </c>
      <c r="E15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5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60 ML</v>
      </c>
      <c r="G150" s="88">
        <v>1</v>
      </c>
      <c r="H150" s="34" t="s">
        <v>4</v>
      </c>
      <c r="I15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</v>
      </c>
      <c r="J150" s="89">
        <f>IF(tblDetailHPP[[#This Row],[KODE KOMPONEN]]="","",IF(tblDetailHPP[[#This Row],[STATUS HARGA]]="OK",ROUND(tblDetailHPP[[#This Row],[QTY PAKAI]]*tblDetailHPP[[#This Row],[HARGA PER SATUAN DASAR]],2),""))</f>
        <v>300</v>
      </c>
      <c r="K15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50" s="34">
        <f>IF(tblDetailHPP[[#This Row],[KODE PRODUK]]="",0,IFERROR(INDEX('PENJUALAN (QTY)'!$AH$3:$AH$500,MATCH(tblDetailHPP[[#This Row],[KODE PRODUK]],'PENJUALAN (QTY)'!$A$3:$A$500,0)),0))</f>
        <v>3</v>
      </c>
      <c r="M15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900</v>
      </c>
    </row>
    <row r="151" spans="1:13">
      <c r="A151" s="34" t="s">
        <v>188</v>
      </c>
      <c r="B151" s="34" t="str">
        <f>IFERROR(INDEX(tbl_Produk[NAMA PRODUK],MATCH(tblDetailHPP[[#This Row],[KODE PRODUK]],tbl_Produk[KODE PRODUK],0)),"")</f>
        <v>AYAM SAUS BBQ + NASI</v>
      </c>
      <c r="C151" s="34" t="s">
        <v>354</v>
      </c>
      <c r="D151" s="34" t="s">
        <v>135</v>
      </c>
      <c r="E15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5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GULA MERAH</v>
      </c>
      <c r="G151" s="88">
        <v>3.6</v>
      </c>
      <c r="H151" s="34" t="s">
        <v>5</v>
      </c>
      <c r="I15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</v>
      </c>
      <c r="J151" s="89">
        <f>IF(tblDetailHPP[[#This Row],[KODE KOMPONEN]]="","",IF(tblDetailHPP[[#This Row],[STATUS HARGA]]="OK",ROUND(tblDetailHPP[[#This Row],[QTY PAKAI]]*tblDetailHPP[[#This Row],[HARGA PER SATUAN DASAR]],2),""))</f>
        <v>86.4</v>
      </c>
      <c r="K15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51" s="34">
        <f>IF(tblDetailHPP[[#This Row],[KODE PRODUK]]="",0,IFERROR(INDEX('PENJUALAN (QTY)'!$AH$3:$AH$500,MATCH(tblDetailHPP[[#This Row],[KODE PRODUK]],'PENJUALAN (QTY)'!$A$3:$A$500,0)),0))</f>
        <v>3</v>
      </c>
      <c r="M15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259.20000000000005</v>
      </c>
    </row>
    <row r="152" spans="1:13">
      <c r="A152" s="34" t="s">
        <v>188</v>
      </c>
      <c r="B152" s="34" t="str">
        <f>IFERROR(INDEX(tbl_Produk[NAMA PRODUK],MATCH(tblDetailHPP[[#This Row],[KODE PRODUK]],tbl_Produk[KODE PRODUK],0)),"")</f>
        <v>AYAM SAUS BBQ + NASI</v>
      </c>
      <c r="C152" s="34" t="s">
        <v>354</v>
      </c>
      <c r="D152" s="34" t="s">
        <v>142</v>
      </c>
      <c r="E15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5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152" s="88">
        <v>15</v>
      </c>
      <c r="H152" s="34" t="s">
        <v>222</v>
      </c>
      <c r="I15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152" s="89">
        <f>IF(tblDetailHPP[[#This Row],[KODE KOMPONEN]]="","",IF(tblDetailHPP[[#This Row],[STATUS HARGA]]="OK",ROUND(tblDetailHPP[[#This Row],[QTY PAKAI]]*tblDetailHPP[[#This Row],[HARGA PER SATUAN DASAR]],2),""))</f>
        <v>75</v>
      </c>
      <c r="K15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52" s="34">
        <f>IF(tblDetailHPP[[#This Row],[KODE PRODUK]]="",0,IFERROR(INDEX('PENJUALAN (QTY)'!$AH$3:$AH$500,MATCH(tblDetailHPP[[#This Row],[KODE PRODUK]],'PENJUALAN (QTY)'!$A$3:$A$500,0)),0))</f>
        <v>3</v>
      </c>
      <c r="M15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225</v>
      </c>
    </row>
    <row r="153" spans="1:13">
      <c r="A153" s="34" t="s">
        <v>188</v>
      </c>
      <c r="B153" s="34" t="str">
        <f>IFERROR(INDEX(tbl_Produk[NAMA PRODUK],MATCH(tblDetailHPP[[#This Row],[KODE PRODUK]],tbl_Produk[KODE PRODUK],0)),"")</f>
        <v>AYAM SAUS BBQ + NASI</v>
      </c>
      <c r="C153" s="34" t="s">
        <v>354</v>
      </c>
      <c r="D153" s="34" t="s">
        <v>143</v>
      </c>
      <c r="E15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5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153" s="88">
        <v>26</v>
      </c>
      <c r="H153" s="34" t="s">
        <v>5</v>
      </c>
      <c r="I15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153" s="89">
        <f>IF(tblDetailHPP[[#This Row],[KODE KOMPONEN]]="","",IF(tblDetailHPP[[#This Row],[STATUS HARGA]]="OK",ROUND(tblDetailHPP[[#This Row],[QTY PAKAI]]*tblDetailHPP[[#This Row],[HARGA PER SATUAN DASAR]],2),""))</f>
        <v>199.33</v>
      </c>
      <c r="K15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53" s="34">
        <f>IF(tblDetailHPP[[#This Row],[KODE PRODUK]]="",0,IFERROR(INDEX('PENJUALAN (QTY)'!$AH$3:$AH$500,MATCH(tblDetailHPP[[#This Row],[KODE PRODUK]],'PENJUALAN (QTY)'!$A$3:$A$500,0)),0))</f>
        <v>3</v>
      </c>
      <c r="M15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597.99</v>
      </c>
    </row>
    <row r="154" spans="1:13">
      <c r="A154" s="34" t="s">
        <v>188</v>
      </c>
      <c r="B154" s="34" t="str">
        <f>IFERROR(INDEX(tbl_Produk[NAMA PRODUK],MATCH(tblDetailHPP[[#This Row],[KODE PRODUK]],tbl_Produk[KODE PRODUK],0)),"")</f>
        <v>AYAM SAUS BBQ + NASI</v>
      </c>
      <c r="C154" s="34" t="s">
        <v>354</v>
      </c>
      <c r="D154" s="34" t="s">
        <v>145</v>
      </c>
      <c r="E15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5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LUNCHBOX M</v>
      </c>
      <c r="G154" s="88">
        <v>1</v>
      </c>
      <c r="H154" s="34" t="s">
        <v>4</v>
      </c>
      <c r="I15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550</v>
      </c>
      <c r="J154" s="89">
        <f>IF(tblDetailHPP[[#This Row],[KODE KOMPONEN]]="","",IF(tblDetailHPP[[#This Row],[STATUS HARGA]]="OK",ROUND(tblDetailHPP[[#This Row],[QTY PAKAI]]*tblDetailHPP[[#This Row],[HARGA PER SATUAN DASAR]],2),""))</f>
        <v>550</v>
      </c>
      <c r="K15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54" s="34">
        <f>IF(tblDetailHPP[[#This Row],[KODE PRODUK]]="",0,IFERROR(INDEX('PENJUALAN (QTY)'!$AH$3:$AH$500,MATCH(tblDetailHPP[[#This Row],[KODE PRODUK]],'PENJUALAN (QTY)'!$A$3:$A$500,0)),0))</f>
        <v>3</v>
      </c>
      <c r="M15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1650</v>
      </c>
    </row>
    <row r="155" spans="1:13">
      <c r="A155" s="34" t="s">
        <v>188</v>
      </c>
      <c r="B155" s="34" t="str">
        <f>IFERROR(INDEX(tbl_Produk[NAMA PRODUK],MATCH(tblDetailHPP[[#This Row],[KODE PRODUK]],tbl_Produk[KODE PRODUK],0)),"")</f>
        <v>AYAM SAUS BBQ + NASI</v>
      </c>
      <c r="C155" s="34" t="s">
        <v>354</v>
      </c>
      <c r="D155" s="34" t="s">
        <v>150</v>
      </c>
      <c r="E15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5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155" s="88">
        <v>50</v>
      </c>
      <c r="H155" s="34" t="s">
        <v>6</v>
      </c>
      <c r="I15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155" s="89">
        <f>IF(tblDetailHPP[[#This Row],[KODE KOMPONEN]]="","",IF(tblDetailHPP[[#This Row],[STATUS HARGA]]="OK",ROUND(tblDetailHPP[[#This Row],[QTY PAKAI]]*tblDetailHPP[[#This Row],[HARGA PER SATUAN DASAR]],2),""))</f>
        <v>1150</v>
      </c>
      <c r="K15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55" s="34">
        <f>IF(tblDetailHPP[[#This Row],[KODE PRODUK]]="",0,IFERROR(INDEX('PENJUALAN (QTY)'!$AH$3:$AH$500,MATCH(tblDetailHPP[[#This Row],[KODE PRODUK]],'PENJUALAN (QTY)'!$A$3:$A$500,0)),0))</f>
        <v>3</v>
      </c>
      <c r="M15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3450</v>
      </c>
    </row>
    <row r="156" spans="1:13">
      <c r="A156" s="34" t="s">
        <v>188</v>
      </c>
      <c r="B156" s="34" t="str">
        <f>IFERROR(INDEX(tbl_Produk[NAMA PRODUK],MATCH(tblDetailHPP[[#This Row],[KODE PRODUK]],tbl_Produk[KODE PRODUK],0)),"")</f>
        <v>AYAM SAUS BBQ + NASI</v>
      </c>
      <c r="C156" s="34" t="s">
        <v>354</v>
      </c>
      <c r="D156" s="34" t="s">
        <v>152</v>
      </c>
      <c r="E15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5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NANAS</v>
      </c>
      <c r="G156" s="88">
        <v>1</v>
      </c>
      <c r="H156" s="34" t="s">
        <v>110</v>
      </c>
      <c r="I15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142.85714285714286</v>
      </c>
      <c r="J156" s="89">
        <f>IF(tblDetailHPP[[#This Row],[KODE KOMPONEN]]="","",IF(tblDetailHPP[[#This Row],[STATUS HARGA]]="OK",ROUND(tblDetailHPP[[#This Row],[QTY PAKAI]]*tblDetailHPP[[#This Row],[HARGA PER SATUAN DASAR]],2),""))</f>
        <v>142.86000000000001</v>
      </c>
      <c r="K15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56" s="34">
        <f>IF(tblDetailHPP[[#This Row],[KODE PRODUK]]="",0,IFERROR(INDEX('PENJUALAN (QTY)'!$AH$3:$AH$500,MATCH(tblDetailHPP[[#This Row],[KODE PRODUK]],'PENJUALAN (QTY)'!$A$3:$A$500,0)),0))</f>
        <v>3</v>
      </c>
      <c r="M15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428.58000000000004</v>
      </c>
    </row>
    <row r="157" spans="1:13">
      <c r="A157" s="34" t="s">
        <v>188</v>
      </c>
      <c r="B157" s="34" t="str">
        <f>IFERROR(INDEX(tbl_Produk[NAMA PRODUK],MATCH(tblDetailHPP[[#This Row],[KODE PRODUK]],tbl_Produk[KODE PRODUK],0)),"")</f>
        <v>AYAM SAUS BBQ + NASI</v>
      </c>
      <c r="C157" s="34" t="s">
        <v>354</v>
      </c>
      <c r="D157" s="34" t="s">
        <v>156</v>
      </c>
      <c r="E15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5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PAPER RICE</v>
      </c>
      <c r="G157" s="88">
        <v>1</v>
      </c>
      <c r="H157" s="34" t="s">
        <v>76</v>
      </c>
      <c r="I15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157" s="89">
        <f>IF(tblDetailHPP[[#This Row],[KODE KOMPONEN]]="","",IF(tblDetailHPP[[#This Row],[STATUS HARGA]]="OK",ROUND(tblDetailHPP[[#This Row],[QTY PAKAI]]*tblDetailHPP[[#This Row],[HARGA PER SATUAN DASAR]],2),""))</f>
        <v>100</v>
      </c>
      <c r="K15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57" s="34">
        <f>IF(tblDetailHPP[[#This Row],[KODE PRODUK]]="",0,IFERROR(INDEX('PENJUALAN (QTY)'!$AH$3:$AH$500,MATCH(tblDetailHPP[[#This Row],[KODE PRODUK]],'PENJUALAN (QTY)'!$A$3:$A$500,0)),0))</f>
        <v>3</v>
      </c>
      <c r="M15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300</v>
      </c>
    </row>
    <row r="158" spans="1:13">
      <c r="A158" s="34" t="s">
        <v>188</v>
      </c>
      <c r="B158" s="34" t="str">
        <f>IFERROR(INDEX(tbl_Produk[NAMA PRODUK],MATCH(tblDetailHPP[[#This Row],[KODE PRODUK]],tbl_Produk[KODE PRODUK],0)),"")</f>
        <v>AYAM SAUS BBQ + NASI</v>
      </c>
      <c r="C158" s="34" t="s">
        <v>354</v>
      </c>
      <c r="D158" s="34" t="s">
        <v>159</v>
      </c>
      <c r="E15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5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21</v>
      </c>
      <c r="G158" s="88">
        <v>1</v>
      </c>
      <c r="H158" s="34" t="s">
        <v>4</v>
      </c>
      <c r="I15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158" s="89">
        <f>IF(tblDetailHPP[[#This Row],[KODE KOMPONEN]]="","",IF(tblDetailHPP[[#This Row],[STATUS HARGA]]="OK",ROUND(tblDetailHPP[[#This Row],[QTY PAKAI]]*tblDetailHPP[[#This Row],[HARGA PER SATUAN DASAR]],2),""))</f>
        <v>280</v>
      </c>
      <c r="K15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58" s="34">
        <f>IF(tblDetailHPP[[#This Row],[KODE PRODUK]]="",0,IFERROR(INDEX('PENJUALAN (QTY)'!$AH$3:$AH$500,MATCH(tblDetailHPP[[#This Row],[KODE PRODUK]],'PENJUALAN (QTY)'!$A$3:$A$500,0)),0))</f>
        <v>3</v>
      </c>
      <c r="M15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840</v>
      </c>
    </row>
    <row r="159" spans="1:13">
      <c r="A159" s="34" t="s">
        <v>188</v>
      </c>
      <c r="B159" s="34" t="str">
        <f>IFERROR(INDEX(tbl_Produk[NAMA PRODUK],MATCH(tblDetailHPP[[#This Row],[KODE PRODUK]],tbl_Produk[KODE PRODUK],0)),"")</f>
        <v>AYAM SAUS BBQ + NASI</v>
      </c>
      <c r="C159" s="34" t="s">
        <v>354</v>
      </c>
      <c r="D159" s="34" t="s">
        <v>163</v>
      </c>
      <c r="E15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5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PASTA BBQ</v>
      </c>
      <c r="G159" s="88">
        <v>14.3</v>
      </c>
      <c r="H159" s="34" t="s">
        <v>6</v>
      </c>
      <c r="I15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31</v>
      </c>
      <c r="J159" s="89">
        <f>IF(tblDetailHPP[[#This Row],[KODE KOMPONEN]]="","",IF(tblDetailHPP[[#This Row],[STATUS HARGA]]="OK",ROUND(tblDetailHPP[[#This Row],[QTY PAKAI]]*tblDetailHPP[[#This Row],[HARGA PER SATUAN DASAR]],2),""))</f>
        <v>443.3</v>
      </c>
      <c r="K15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59" s="34">
        <f>IF(tblDetailHPP[[#This Row],[KODE PRODUK]]="",0,IFERROR(INDEX('PENJUALAN (QTY)'!$AH$3:$AH$500,MATCH(tblDetailHPP[[#This Row],[KODE PRODUK]],'PENJUALAN (QTY)'!$A$3:$A$500,0)),0))</f>
        <v>3</v>
      </c>
      <c r="M15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1329.9</v>
      </c>
    </row>
    <row r="160" spans="1:13">
      <c r="A160" s="34" t="s">
        <v>188</v>
      </c>
      <c r="B160" s="34" t="str">
        <f>IFERROR(INDEX(tbl_Produk[NAMA PRODUK],MATCH(tblDetailHPP[[#This Row],[KODE PRODUK]],tbl_Produk[KODE PRODUK],0)),"")</f>
        <v>AYAM SAUS BBQ + NASI</v>
      </c>
      <c r="C160" s="34" t="s">
        <v>354</v>
      </c>
      <c r="D160" s="34" t="s">
        <v>166</v>
      </c>
      <c r="E16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6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TOMAT POUCH</v>
      </c>
      <c r="G160" s="88">
        <v>14.3</v>
      </c>
      <c r="H160" s="34" t="s">
        <v>6</v>
      </c>
      <c r="I16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17</v>
      </c>
      <c r="J160" s="89">
        <f>IF(tblDetailHPP[[#This Row],[KODE KOMPONEN]]="","",IF(tblDetailHPP[[#This Row],[STATUS HARGA]]="OK",ROUND(tblDetailHPP[[#This Row],[QTY PAKAI]]*tblDetailHPP[[#This Row],[HARGA PER SATUAN DASAR]],2),""))</f>
        <v>243.1</v>
      </c>
      <c r="K16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60" s="34">
        <f>IF(tblDetailHPP[[#This Row],[KODE PRODUK]]="",0,IFERROR(INDEX('PENJUALAN (QTY)'!$AH$3:$AH$500,MATCH(tblDetailHPP[[#This Row],[KODE PRODUK]],'PENJUALAN (QTY)'!$A$3:$A$500,0)),0))</f>
        <v>3</v>
      </c>
      <c r="M16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729.3</v>
      </c>
    </row>
    <row r="161" spans="1:13">
      <c r="A161" s="34" t="s">
        <v>188</v>
      </c>
      <c r="B161" s="34" t="str">
        <f>IFERROR(INDEX(tbl_Produk[NAMA PRODUK],MATCH(tblDetailHPP[[#This Row],[KODE PRODUK]],tbl_Produk[KODE PRODUK],0)),"")</f>
        <v>AYAM SAUS BBQ + NASI</v>
      </c>
      <c r="C161" s="34" t="s">
        <v>354</v>
      </c>
      <c r="D161" s="34" t="s">
        <v>168</v>
      </c>
      <c r="E16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6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SMOKE LIQUID</v>
      </c>
      <c r="G161" s="88">
        <v>0.2</v>
      </c>
      <c r="H161" s="34" t="s">
        <v>5</v>
      </c>
      <c r="I16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244</v>
      </c>
      <c r="J161" s="89">
        <f>IF(tblDetailHPP[[#This Row],[KODE KOMPONEN]]="","",IF(tblDetailHPP[[#This Row],[STATUS HARGA]]="OK",ROUND(tblDetailHPP[[#This Row],[QTY PAKAI]]*tblDetailHPP[[#This Row],[HARGA PER SATUAN DASAR]],2),""))</f>
        <v>48.8</v>
      </c>
      <c r="K16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61" s="34">
        <f>IF(tblDetailHPP[[#This Row],[KODE PRODUK]]="",0,IFERROR(INDEX('PENJUALAN (QTY)'!$AH$3:$AH$500,MATCH(tblDetailHPP[[#This Row],[KODE PRODUK]],'PENJUALAN (QTY)'!$A$3:$A$500,0)),0))</f>
        <v>3</v>
      </c>
      <c r="M16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146.39999999999998</v>
      </c>
    </row>
    <row r="162" spans="1:13">
      <c r="A162" s="34" t="s">
        <v>188</v>
      </c>
      <c r="B162" s="34" t="str">
        <f>IFERROR(INDEX(tbl_Produk[NAMA PRODUK],MATCH(tblDetailHPP[[#This Row],[KODE PRODUK]],tbl_Produk[KODE PRODUK],0)),"")</f>
        <v>AYAM SAUS BBQ + NASI</v>
      </c>
      <c r="C162" s="34" t="s">
        <v>354</v>
      </c>
      <c r="D162" s="34" t="s">
        <v>170</v>
      </c>
      <c r="E16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6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162" s="88">
        <v>1</v>
      </c>
      <c r="H162" s="34" t="s">
        <v>4</v>
      </c>
      <c r="I16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162" s="89">
        <f>IF(tblDetailHPP[[#This Row],[KODE KOMPONEN]]="","",IF(tblDetailHPP[[#This Row],[STATUS HARGA]]="OK",ROUND(tblDetailHPP[[#This Row],[QTY PAKAI]]*tblDetailHPP[[#This Row],[HARGA PER SATUAN DASAR]],2),""))</f>
        <v>129.87</v>
      </c>
      <c r="K16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62" s="34">
        <f>IF(tblDetailHPP[[#This Row],[KODE PRODUK]]="",0,IFERROR(INDEX('PENJUALAN (QTY)'!$AH$3:$AH$500,MATCH(tblDetailHPP[[#This Row],[KODE PRODUK]],'PENJUALAN (QTY)'!$A$3:$A$500,0)),0))</f>
        <v>3</v>
      </c>
      <c r="M16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389.61</v>
      </c>
    </row>
    <row r="163" spans="1:13">
      <c r="A163" s="34" t="s">
        <v>188</v>
      </c>
      <c r="B163" s="34" t="str">
        <f>IFERROR(INDEX(tbl_Produk[NAMA PRODUK],MATCH(tblDetailHPP[[#This Row],[KODE PRODUK]],tbl_Produk[KODE PRODUK],0)),"")</f>
        <v>AYAM SAUS BBQ + NASI</v>
      </c>
      <c r="C163" s="34" t="s">
        <v>354</v>
      </c>
      <c r="D163" s="34" t="s">
        <v>174</v>
      </c>
      <c r="E16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6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TEPUNG TERIGU</v>
      </c>
      <c r="G163" s="88">
        <v>125</v>
      </c>
      <c r="H163" s="34" t="s">
        <v>5</v>
      </c>
      <c r="I16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8</v>
      </c>
      <c r="J163" s="89">
        <f>IF(tblDetailHPP[[#This Row],[KODE KOMPONEN]]="","",IF(tblDetailHPP[[#This Row],[STATUS HARGA]]="OK",ROUND(tblDetailHPP[[#This Row],[QTY PAKAI]]*tblDetailHPP[[#This Row],[HARGA PER SATUAN DASAR]],2),""))</f>
        <v>1000</v>
      </c>
      <c r="K16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63" s="34">
        <f>IF(tblDetailHPP[[#This Row],[KODE PRODUK]]="",0,IFERROR(INDEX('PENJUALAN (QTY)'!$AH$3:$AH$500,MATCH(tblDetailHPP[[#This Row],[KODE PRODUK]],'PENJUALAN (QTY)'!$A$3:$A$500,0)),0))</f>
        <v>3</v>
      </c>
      <c r="M16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3000</v>
      </c>
    </row>
    <row r="164" spans="1:13">
      <c r="A164" s="34" t="s">
        <v>188</v>
      </c>
      <c r="B164" s="34" t="str">
        <f>IFERROR(INDEX(tbl_Produk[NAMA PRODUK],MATCH(tblDetailHPP[[#This Row],[KODE PRODUK]],tbl_Produk[KODE PRODUK],0)),"")</f>
        <v>AYAM SAUS BBQ + NASI</v>
      </c>
      <c r="C164" s="34" t="s">
        <v>354</v>
      </c>
      <c r="D164" s="34" t="s">
        <v>177</v>
      </c>
      <c r="E16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6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BBQ POWDER</v>
      </c>
      <c r="G164" s="88">
        <v>2.9</v>
      </c>
      <c r="H164" s="34" t="s">
        <v>5</v>
      </c>
      <c r="I16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164" s="89">
        <f>IF(tblDetailHPP[[#This Row],[KODE KOMPONEN]]="","",IF(tblDetailHPP[[#This Row],[STATUS HARGA]]="OK",ROUND(tblDetailHPP[[#This Row],[QTY PAKAI]]*tblDetailHPP[[#This Row],[HARGA PER SATUAN DASAR]],2),""))</f>
        <v>174</v>
      </c>
      <c r="K16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64" s="34">
        <f>IF(tblDetailHPP[[#This Row],[KODE PRODUK]]="",0,IFERROR(INDEX('PENJUALAN (QTY)'!$AH$3:$AH$500,MATCH(tblDetailHPP[[#This Row],[KODE PRODUK]],'PENJUALAN (QTY)'!$A$3:$A$500,0)),0))</f>
        <v>3</v>
      </c>
      <c r="M16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522</v>
      </c>
    </row>
    <row r="165" spans="1:13">
      <c r="A165" s="34" t="s">
        <v>189</v>
      </c>
      <c r="B165" s="34" t="str">
        <f>IFERROR(INDEX(tbl_Produk[NAMA PRODUK],MATCH(tblDetailHPP[[#This Row],[KODE PRODUK]],tbl_Produk[KODE PRODUK],0)),"")</f>
        <v>AYAM SAUS BROCHEESE</v>
      </c>
      <c r="C165" s="34" t="s">
        <v>354</v>
      </c>
      <c r="D165" s="34" t="s">
        <v>114</v>
      </c>
      <c r="E16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16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AYAM POTONG</v>
      </c>
      <c r="G165" s="88">
        <v>83.3</v>
      </c>
      <c r="H165" s="34" t="s">
        <v>5</v>
      </c>
      <c r="I16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26.5</v>
      </c>
      <c r="J165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16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65" s="34">
        <f>IF(tblDetailHPP[[#This Row],[KODE PRODUK]]="",0,IFERROR(INDEX('PENJUALAN (QTY)'!$AH$3:$AH$500,MATCH(tblDetailHPP[[#This Row],[KODE PRODUK]],'PENJUALAN (QTY)'!$A$3:$A$500,0)),0))</f>
        <v>0</v>
      </c>
      <c r="M16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66" spans="1:13">
      <c r="A166" s="34" t="s">
        <v>189</v>
      </c>
      <c r="B166" s="34" t="str">
        <f>IFERROR(INDEX(tbl_Produk[NAMA PRODUK],MATCH(tblDetailHPP[[#This Row],[KODE PRODUK]],tbl_Produk[KODE PRODUK],0)),"")</f>
        <v>AYAM SAUS BROCHEESE</v>
      </c>
      <c r="C166" s="34" t="s">
        <v>354</v>
      </c>
      <c r="D166" s="34" t="s">
        <v>119</v>
      </c>
      <c r="E16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6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PUTIH</v>
      </c>
      <c r="G166" s="88">
        <v>0.75</v>
      </c>
      <c r="H166" s="34" t="s">
        <v>5</v>
      </c>
      <c r="I16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166" s="89">
        <f>IF(tblDetailHPP[[#This Row],[KODE KOMPONEN]]="","",IF(tblDetailHPP[[#This Row],[STATUS HARGA]]="OK",ROUND(tblDetailHPP[[#This Row],[QTY PAKAI]]*tblDetailHPP[[#This Row],[HARGA PER SATUAN DASAR]],2),""))</f>
        <v>30</v>
      </c>
      <c r="K16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66" s="34">
        <f>IF(tblDetailHPP[[#This Row],[KODE PRODUK]]="",0,IFERROR(INDEX('PENJUALAN (QTY)'!$AH$3:$AH$500,MATCH(tblDetailHPP[[#This Row],[KODE PRODUK]],'PENJUALAN (QTY)'!$A$3:$A$500,0)),0))</f>
        <v>0</v>
      </c>
      <c r="M16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67" spans="1:13">
      <c r="A167" s="34" t="s">
        <v>189</v>
      </c>
      <c r="B167" s="34" t="str">
        <f>IFERROR(INDEX(tbl_Produk[NAMA PRODUK],MATCH(tblDetailHPP[[#This Row],[KODE PRODUK]],tbl_Produk[KODE PRODUK],0)),"")</f>
        <v>AYAM SAUS BROCHEESE</v>
      </c>
      <c r="C167" s="34" t="s">
        <v>354</v>
      </c>
      <c r="D167" s="34" t="s">
        <v>121</v>
      </c>
      <c r="E16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6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BUMBU MARINASI</v>
      </c>
      <c r="G167" s="88">
        <v>2.5</v>
      </c>
      <c r="H167" s="34" t="s">
        <v>5</v>
      </c>
      <c r="I16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71.666666666666671</v>
      </c>
      <c r="J167" s="89">
        <f>IF(tblDetailHPP[[#This Row],[KODE KOMPONEN]]="","",IF(tblDetailHPP[[#This Row],[STATUS HARGA]]="OK",ROUND(tblDetailHPP[[#This Row],[QTY PAKAI]]*tblDetailHPP[[#This Row],[HARGA PER SATUAN DASAR]],2),""))</f>
        <v>179.17</v>
      </c>
      <c r="K16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67" s="34">
        <f>IF(tblDetailHPP[[#This Row],[KODE PRODUK]]="",0,IFERROR(INDEX('PENJUALAN (QTY)'!$AH$3:$AH$500,MATCH(tblDetailHPP[[#This Row],[KODE PRODUK]],'PENJUALAN (QTY)'!$A$3:$A$500,0)),0))</f>
        <v>0</v>
      </c>
      <c r="M16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68" spans="1:13">
      <c r="A168" s="34" t="s">
        <v>189</v>
      </c>
      <c r="B168" s="34" t="str">
        <f>IFERROR(INDEX(tbl_Produk[NAMA PRODUK],MATCH(tblDetailHPP[[#This Row],[KODE PRODUK]],tbl_Produk[KODE PRODUK],0)),"")</f>
        <v>AYAM SAUS BROCHEESE</v>
      </c>
      <c r="C168" s="34" t="s">
        <v>354</v>
      </c>
      <c r="D168" s="34" t="s">
        <v>123</v>
      </c>
      <c r="E16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6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KERING</v>
      </c>
      <c r="G168" s="88">
        <v>1.7</v>
      </c>
      <c r="H168" s="34" t="s">
        <v>5</v>
      </c>
      <c r="I16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168" s="89">
        <f>IF(tblDetailHPP[[#This Row],[KODE KOMPONEN]]="","",IF(tblDetailHPP[[#This Row],[STATUS HARGA]]="OK",ROUND(tblDetailHPP[[#This Row],[QTY PAKAI]]*tblDetailHPP[[#This Row],[HARGA PER SATUAN DASAR]],2),""))</f>
        <v>170</v>
      </c>
      <c r="K16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68" s="34">
        <f>IF(tblDetailHPP[[#This Row],[KODE PRODUK]]="",0,IFERROR(INDEX('PENJUALAN (QTY)'!$AH$3:$AH$500,MATCH(tblDetailHPP[[#This Row],[KODE PRODUK]],'PENJUALAN (QTY)'!$A$3:$A$500,0)),0))</f>
        <v>0</v>
      </c>
      <c r="M16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69" spans="1:13">
      <c r="A169" s="34" t="s">
        <v>189</v>
      </c>
      <c r="B169" s="34" t="str">
        <f>IFERROR(INDEX(tbl_Produk[NAMA PRODUK],MATCH(tblDetailHPP[[#This Row],[KODE PRODUK]],tbl_Produk[KODE PRODUK],0)),"")</f>
        <v>AYAM SAUS BROCHEESE</v>
      </c>
      <c r="C169" s="34" t="s">
        <v>354</v>
      </c>
      <c r="D169" s="34" t="s">
        <v>130</v>
      </c>
      <c r="E16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6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60 ML</v>
      </c>
      <c r="G169" s="88">
        <v>1</v>
      </c>
      <c r="H169" s="34" t="s">
        <v>4</v>
      </c>
      <c r="I16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</v>
      </c>
      <c r="J169" s="89">
        <f>IF(tblDetailHPP[[#This Row],[KODE KOMPONEN]]="","",IF(tblDetailHPP[[#This Row],[STATUS HARGA]]="OK",ROUND(tblDetailHPP[[#This Row],[QTY PAKAI]]*tblDetailHPP[[#This Row],[HARGA PER SATUAN DASAR]],2),""))</f>
        <v>300</v>
      </c>
      <c r="K16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69" s="34">
        <f>IF(tblDetailHPP[[#This Row],[KODE PRODUK]]="",0,IFERROR(INDEX('PENJUALAN (QTY)'!$AH$3:$AH$500,MATCH(tblDetailHPP[[#This Row],[KODE PRODUK]],'PENJUALAN (QTY)'!$A$3:$A$500,0)),0))</f>
        <v>0</v>
      </c>
      <c r="M16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70" spans="1:13">
      <c r="A170" s="34" t="s">
        <v>189</v>
      </c>
      <c r="B170" s="34" t="str">
        <f>IFERROR(INDEX(tbl_Produk[NAMA PRODUK],MATCH(tblDetailHPP[[#This Row],[KODE PRODUK]],tbl_Produk[KODE PRODUK],0)),"")</f>
        <v>AYAM SAUS BROCHEESE</v>
      </c>
      <c r="C170" s="34" t="s">
        <v>354</v>
      </c>
      <c r="D170" s="34" t="s">
        <v>135</v>
      </c>
      <c r="E17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7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GULA MERAH</v>
      </c>
      <c r="G170" s="88">
        <v>1.8</v>
      </c>
      <c r="H170" s="34" t="s">
        <v>5</v>
      </c>
      <c r="I17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</v>
      </c>
      <c r="J170" s="89">
        <f>IF(tblDetailHPP[[#This Row],[KODE KOMPONEN]]="","",IF(tblDetailHPP[[#This Row],[STATUS HARGA]]="OK",ROUND(tblDetailHPP[[#This Row],[QTY PAKAI]]*tblDetailHPP[[#This Row],[HARGA PER SATUAN DASAR]],2),""))</f>
        <v>43.2</v>
      </c>
      <c r="K17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70" s="34">
        <f>IF(tblDetailHPP[[#This Row],[KODE PRODUK]]="",0,IFERROR(INDEX('PENJUALAN (QTY)'!$AH$3:$AH$500,MATCH(tblDetailHPP[[#This Row],[KODE PRODUK]],'PENJUALAN (QTY)'!$A$3:$A$500,0)),0))</f>
        <v>0</v>
      </c>
      <c r="M17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71" spans="1:13">
      <c r="A171" s="34" t="s">
        <v>189</v>
      </c>
      <c r="B171" s="34" t="str">
        <f>IFERROR(INDEX(tbl_Produk[NAMA PRODUK],MATCH(tblDetailHPP[[#This Row],[KODE PRODUK]],tbl_Produk[KODE PRODUK],0)),"")</f>
        <v>AYAM SAUS BROCHEESE</v>
      </c>
      <c r="C171" s="34" t="s">
        <v>354</v>
      </c>
      <c r="D171" s="34" t="s">
        <v>139</v>
      </c>
      <c r="E17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7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KEJU CHEDDAR</v>
      </c>
      <c r="G171" s="88">
        <v>7.35</v>
      </c>
      <c r="H171" s="34" t="s">
        <v>5</v>
      </c>
      <c r="I17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52</v>
      </c>
      <c r="J171" s="89">
        <f>IF(tblDetailHPP[[#This Row],[KODE KOMPONEN]]="","",IF(tblDetailHPP[[#This Row],[STATUS HARGA]]="OK",ROUND(tblDetailHPP[[#This Row],[QTY PAKAI]]*tblDetailHPP[[#This Row],[HARGA PER SATUAN DASAR]],2),""))</f>
        <v>382.2</v>
      </c>
      <c r="K17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71" s="34">
        <f>IF(tblDetailHPP[[#This Row],[KODE PRODUK]]="",0,IFERROR(INDEX('PENJUALAN (QTY)'!$AH$3:$AH$500,MATCH(tblDetailHPP[[#This Row],[KODE PRODUK]],'PENJUALAN (QTY)'!$A$3:$A$500,0)),0))</f>
        <v>0</v>
      </c>
      <c r="M17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72" spans="1:13">
      <c r="A172" s="34" t="s">
        <v>189</v>
      </c>
      <c r="B172" s="34" t="str">
        <f>IFERROR(INDEX(tbl_Produk[NAMA PRODUK],MATCH(tblDetailHPP[[#This Row],[KODE PRODUK]],tbl_Produk[KODE PRODUK],0)),"")</f>
        <v>AYAM SAUS BROCHEESE</v>
      </c>
      <c r="C172" s="34" t="s">
        <v>354</v>
      </c>
      <c r="D172" s="34" t="s">
        <v>142</v>
      </c>
      <c r="E17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7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172" s="88">
        <v>15</v>
      </c>
      <c r="H172" s="34" t="s">
        <v>222</v>
      </c>
      <c r="I17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172" s="89">
        <f>IF(tblDetailHPP[[#This Row],[KODE KOMPONEN]]="","",IF(tblDetailHPP[[#This Row],[STATUS HARGA]]="OK",ROUND(tblDetailHPP[[#This Row],[QTY PAKAI]]*tblDetailHPP[[#This Row],[HARGA PER SATUAN DASAR]],2),""))</f>
        <v>75</v>
      </c>
      <c r="K17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72" s="34">
        <f>IF(tblDetailHPP[[#This Row],[KODE PRODUK]]="",0,IFERROR(INDEX('PENJUALAN (QTY)'!$AH$3:$AH$500,MATCH(tblDetailHPP[[#This Row],[KODE PRODUK]],'PENJUALAN (QTY)'!$A$3:$A$500,0)),0))</f>
        <v>0</v>
      </c>
      <c r="M17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73" spans="1:13">
      <c r="A173" s="34" t="s">
        <v>189</v>
      </c>
      <c r="B173" s="34" t="str">
        <f>IFERROR(INDEX(tbl_Produk[NAMA PRODUK],MATCH(tblDetailHPP[[#This Row],[KODE PRODUK]],tbl_Produk[KODE PRODUK],0)),"")</f>
        <v>AYAM SAUS BROCHEESE</v>
      </c>
      <c r="C173" s="34" t="s">
        <v>354</v>
      </c>
      <c r="D173" s="34" t="s">
        <v>143</v>
      </c>
      <c r="E17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7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173" s="88">
        <v>13</v>
      </c>
      <c r="H173" s="34" t="s">
        <v>5</v>
      </c>
      <c r="I17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173" s="89">
        <f>IF(tblDetailHPP[[#This Row],[KODE KOMPONEN]]="","",IF(tblDetailHPP[[#This Row],[STATUS HARGA]]="OK",ROUND(tblDetailHPP[[#This Row],[QTY PAKAI]]*tblDetailHPP[[#This Row],[HARGA PER SATUAN DASAR]],2),""))</f>
        <v>99.67</v>
      </c>
      <c r="K17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73" s="34">
        <f>IF(tblDetailHPP[[#This Row],[KODE PRODUK]]="",0,IFERROR(INDEX('PENJUALAN (QTY)'!$AH$3:$AH$500,MATCH(tblDetailHPP[[#This Row],[KODE PRODUK]],'PENJUALAN (QTY)'!$A$3:$A$500,0)),0))</f>
        <v>0</v>
      </c>
      <c r="M17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74" spans="1:13">
      <c r="A174" s="34" t="s">
        <v>189</v>
      </c>
      <c r="B174" s="34" t="str">
        <f>IFERROR(INDEX(tbl_Produk[NAMA PRODUK],MATCH(tblDetailHPP[[#This Row],[KODE PRODUK]],tbl_Produk[KODE PRODUK],0)),"")</f>
        <v>AYAM SAUS BROCHEESE</v>
      </c>
      <c r="C174" s="34" t="s">
        <v>354</v>
      </c>
      <c r="D174" s="34" t="s">
        <v>146</v>
      </c>
      <c r="E17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7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LUNCHBOX S</v>
      </c>
      <c r="G174" s="88">
        <v>1</v>
      </c>
      <c r="H174" s="34" t="s">
        <v>4</v>
      </c>
      <c r="I17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450</v>
      </c>
      <c r="J174" s="89">
        <f>IF(tblDetailHPP[[#This Row],[KODE KOMPONEN]]="","",IF(tblDetailHPP[[#This Row],[STATUS HARGA]]="OK",ROUND(tblDetailHPP[[#This Row],[QTY PAKAI]]*tblDetailHPP[[#This Row],[HARGA PER SATUAN DASAR]],2),""))</f>
        <v>450</v>
      </c>
      <c r="K17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74" s="34">
        <f>IF(tblDetailHPP[[#This Row],[KODE PRODUK]]="",0,IFERROR(INDEX('PENJUALAN (QTY)'!$AH$3:$AH$500,MATCH(tblDetailHPP[[#This Row],[KODE PRODUK]],'PENJUALAN (QTY)'!$A$3:$A$500,0)),0))</f>
        <v>0</v>
      </c>
      <c r="M17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75" spans="1:13">
      <c r="A175" s="34" t="s">
        <v>189</v>
      </c>
      <c r="B175" s="34" t="str">
        <f>IFERROR(INDEX(tbl_Produk[NAMA PRODUK],MATCH(tblDetailHPP[[#This Row],[KODE PRODUK]],tbl_Produk[KODE PRODUK],0)),"")</f>
        <v>AYAM SAUS BROCHEESE</v>
      </c>
      <c r="C175" s="34" t="s">
        <v>354</v>
      </c>
      <c r="D175" s="34" t="s">
        <v>150</v>
      </c>
      <c r="E17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7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175" s="88">
        <v>50</v>
      </c>
      <c r="H175" s="34" t="s">
        <v>6</v>
      </c>
      <c r="I17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175" s="89">
        <f>IF(tblDetailHPP[[#This Row],[KODE KOMPONEN]]="","",IF(tblDetailHPP[[#This Row],[STATUS HARGA]]="OK",ROUND(tblDetailHPP[[#This Row],[QTY PAKAI]]*tblDetailHPP[[#This Row],[HARGA PER SATUAN DASAR]],2),""))</f>
        <v>1150</v>
      </c>
      <c r="K17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75" s="34">
        <f>IF(tblDetailHPP[[#This Row],[KODE PRODUK]]="",0,IFERROR(INDEX('PENJUALAN (QTY)'!$AH$3:$AH$500,MATCH(tblDetailHPP[[#This Row],[KODE PRODUK]],'PENJUALAN (QTY)'!$A$3:$A$500,0)),0))</f>
        <v>0</v>
      </c>
      <c r="M17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76" spans="1:13">
      <c r="A176" s="34" t="s">
        <v>189</v>
      </c>
      <c r="B176" s="34" t="str">
        <f>IFERROR(INDEX(tbl_Produk[NAMA PRODUK],MATCH(tblDetailHPP[[#This Row],[KODE PRODUK]],tbl_Produk[KODE PRODUK],0)),"")</f>
        <v>AYAM SAUS BROCHEESE</v>
      </c>
      <c r="C176" s="34" t="s">
        <v>354</v>
      </c>
      <c r="D176" s="34" t="s">
        <v>152</v>
      </c>
      <c r="E17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7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NANAS</v>
      </c>
      <c r="G176" s="88">
        <v>1</v>
      </c>
      <c r="H176" s="34" t="s">
        <v>110</v>
      </c>
      <c r="I17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142.85714285714286</v>
      </c>
      <c r="J176" s="89">
        <f>IF(tblDetailHPP[[#This Row],[KODE KOMPONEN]]="","",IF(tblDetailHPP[[#This Row],[STATUS HARGA]]="OK",ROUND(tblDetailHPP[[#This Row],[QTY PAKAI]]*tblDetailHPP[[#This Row],[HARGA PER SATUAN DASAR]],2),""))</f>
        <v>142.86000000000001</v>
      </c>
      <c r="K17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76" s="34">
        <f>IF(tblDetailHPP[[#This Row],[KODE PRODUK]]="",0,IFERROR(INDEX('PENJUALAN (QTY)'!$AH$3:$AH$500,MATCH(tblDetailHPP[[#This Row],[KODE PRODUK]],'PENJUALAN (QTY)'!$A$3:$A$500,0)),0))</f>
        <v>0</v>
      </c>
      <c r="M17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77" spans="1:13">
      <c r="A177" s="34" t="s">
        <v>189</v>
      </c>
      <c r="B177" s="34" t="str">
        <f>IFERROR(INDEX(tbl_Produk[NAMA PRODUK],MATCH(tblDetailHPP[[#This Row],[KODE PRODUK]],tbl_Produk[KODE PRODUK],0)),"")</f>
        <v>AYAM SAUS BROCHEESE</v>
      </c>
      <c r="C177" s="34" t="s">
        <v>354</v>
      </c>
      <c r="D177" s="34" t="s">
        <v>158</v>
      </c>
      <c r="E17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7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177" s="88">
        <v>1</v>
      </c>
      <c r="H177" s="34" t="s">
        <v>4</v>
      </c>
      <c r="I17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177" s="89">
        <f>IF(tblDetailHPP[[#This Row],[KODE KOMPONEN]]="","",IF(tblDetailHPP[[#This Row],[STATUS HARGA]]="OK",ROUND(tblDetailHPP[[#This Row],[QTY PAKAI]]*tblDetailHPP[[#This Row],[HARGA PER SATUAN DASAR]],2),""))</f>
        <v>280</v>
      </c>
      <c r="K17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77" s="34">
        <f>IF(tblDetailHPP[[#This Row],[KODE PRODUK]]="",0,IFERROR(INDEX('PENJUALAN (QTY)'!$AH$3:$AH$500,MATCH(tblDetailHPP[[#This Row],[KODE PRODUK]],'PENJUALAN (QTY)'!$A$3:$A$500,0)),0))</f>
        <v>0</v>
      </c>
      <c r="M17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78" spans="1:13">
      <c r="A178" s="34" t="s">
        <v>189</v>
      </c>
      <c r="B178" s="34" t="str">
        <f>IFERROR(INDEX(tbl_Produk[NAMA PRODUK],MATCH(tblDetailHPP[[#This Row],[KODE PRODUK]],tbl_Produk[KODE PRODUK],0)),"")</f>
        <v>AYAM SAUS BROCHEESE</v>
      </c>
      <c r="C178" s="34" t="s">
        <v>354</v>
      </c>
      <c r="D178" s="34" t="s">
        <v>163</v>
      </c>
      <c r="E17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7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PASTA BBQ</v>
      </c>
      <c r="G178" s="88">
        <v>7.15</v>
      </c>
      <c r="H178" s="34" t="s">
        <v>6</v>
      </c>
      <c r="I17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31</v>
      </c>
      <c r="J178" s="89">
        <f>IF(tblDetailHPP[[#This Row],[KODE KOMPONEN]]="","",IF(tblDetailHPP[[#This Row],[STATUS HARGA]]="OK",ROUND(tblDetailHPP[[#This Row],[QTY PAKAI]]*tblDetailHPP[[#This Row],[HARGA PER SATUAN DASAR]],2),""))</f>
        <v>221.65</v>
      </c>
      <c r="K17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78" s="34">
        <f>IF(tblDetailHPP[[#This Row],[KODE PRODUK]]="",0,IFERROR(INDEX('PENJUALAN (QTY)'!$AH$3:$AH$500,MATCH(tblDetailHPP[[#This Row],[KODE PRODUK]],'PENJUALAN (QTY)'!$A$3:$A$500,0)),0))</f>
        <v>0</v>
      </c>
      <c r="M17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79" spans="1:13">
      <c r="A179" s="34" t="s">
        <v>189</v>
      </c>
      <c r="B179" s="34" t="str">
        <f>IFERROR(INDEX(tbl_Produk[NAMA PRODUK],MATCH(tblDetailHPP[[#This Row],[KODE PRODUK]],tbl_Produk[KODE PRODUK],0)),"")</f>
        <v>AYAM SAUS BROCHEESE</v>
      </c>
      <c r="C179" s="34" t="s">
        <v>354</v>
      </c>
      <c r="D179" s="34" t="s">
        <v>166</v>
      </c>
      <c r="E17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7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TOMAT POUCH</v>
      </c>
      <c r="G179" s="88">
        <v>7.15</v>
      </c>
      <c r="H179" s="34" t="s">
        <v>6</v>
      </c>
      <c r="I17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17</v>
      </c>
      <c r="J179" s="89">
        <f>IF(tblDetailHPP[[#This Row],[KODE KOMPONEN]]="","",IF(tblDetailHPP[[#This Row],[STATUS HARGA]]="OK",ROUND(tblDetailHPP[[#This Row],[QTY PAKAI]]*tblDetailHPP[[#This Row],[HARGA PER SATUAN DASAR]],2),""))</f>
        <v>121.55</v>
      </c>
      <c r="K17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79" s="34">
        <f>IF(tblDetailHPP[[#This Row],[KODE PRODUK]]="",0,IFERROR(INDEX('PENJUALAN (QTY)'!$AH$3:$AH$500,MATCH(tblDetailHPP[[#This Row],[KODE PRODUK]],'PENJUALAN (QTY)'!$A$3:$A$500,0)),0))</f>
        <v>0</v>
      </c>
      <c r="M17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80" spans="1:13">
      <c r="A180" s="34" t="s">
        <v>189</v>
      </c>
      <c r="B180" s="34" t="str">
        <f>IFERROR(INDEX(tbl_Produk[NAMA PRODUK],MATCH(tblDetailHPP[[#This Row],[KODE PRODUK]],tbl_Produk[KODE PRODUK],0)),"")</f>
        <v>AYAM SAUS BROCHEESE</v>
      </c>
      <c r="C180" s="34" t="s">
        <v>354</v>
      </c>
      <c r="D180" s="34" t="s">
        <v>168</v>
      </c>
      <c r="E18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8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SMOKE LIQUID</v>
      </c>
      <c r="G180" s="88">
        <v>0.1</v>
      </c>
      <c r="H180" s="34" t="s">
        <v>5</v>
      </c>
      <c r="I18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244</v>
      </c>
      <c r="J180" s="89">
        <f>IF(tblDetailHPP[[#This Row],[KODE KOMPONEN]]="","",IF(tblDetailHPP[[#This Row],[STATUS HARGA]]="OK",ROUND(tblDetailHPP[[#This Row],[QTY PAKAI]]*tblDetailHPP[[#This Row],[HARGA PER SATUAN DASAR]],2),""))</f>
        <v>24.4</v>
      </c>
      <c r="K18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80" s="34">
        <f>IF(tblDetailHPP[[#This Row],[KODE PRODUK]]="",0,IFERROR(INDEX('PENJUALAN (QTY)'!$AH$3:$AH$500,MATCH(tblDetailHPP[[#This Row],[KODE PRODUK]],'PENJUALAN (QTY)'!$A$3:$A$500,0)),0))</f>
        <v>0</v>
      </c>
      <c r="M18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81" spans="1:13">
      <c r="A181" s="34" t="s">
        <v>189</v>
      </c>
      <c r="B181" s="34" t="str">
        <f>IFERROR(INDEX(tbl_Produk[NAMA PRODUK],MATCH(tblDetailHPP[[#This Row],[KODE PRODUK]],tbl_Produk[KODE PRODUK],0)),"")</f>
        <v>AYAM SAUS BROCHEESE</v>
      </c>
      <c r="C181" s="34" t="s">
        <v>354</v>
      </c>
      <c r="D181" s="34" t="s">
        <v>170</v>
      </c>
      <c r="E18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8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181" s="88">
        <v>1</v>
      </c>
      <c r="H181" s="34" t="s">
        <v>4</v>
      </c>
      <c r="I18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181" s="89">
        <f>IF(tblDetailHPP[[#This Row],[KODE KOMPONEN]]="","",IF(tblDetailHPP[[#This Row],[STATUS HARGA]]="OK",ROUND(tblDetailHPP[[#This Row],[QTY PAKAI]]*tblDetailHPP[[#This Row],[HARGA PER SATUAN DASAR]],2),""))</f>
        <v>129.87</v>
      </c>
      <c r="K18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81" s="34">
        <f>IF(tblDetailHPP[[#This Row],[KODE PRODUK]]="",0,IFERROR(INDEX('PENJUALAN (QTY)'!$AH$3:$AH$500,MATCH(tblDetailHPP[[#This Row],[KODE PRODUK]],'PENJUALAN (QTY)'!$A$3:$A$500,0)),0))</f>
        <v>0</v>
      </c>
      <c r="M18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82" spans="1:13">
      <c r="A182" s="34" t="s">
        <v>189</v>
      </c>
      <c r="B182" s="34" t="str">
        <f>IFERROR(INDEX(tbl_Produk[NAMA PRODUK],MATCH(tblDetailHPP[[#This Row],[KODE PRODUK]],tbl_Produk[KODE PRODUK],0)),"")</f>
        <v>AYAM SAUS BROCHEESE</v>
      </c>
      <c r="C182" s="34" t="s">
        <v>354</v>
      </c>
      <c r="D182" s="34" t="s">
        <v>171</v>
      </c>
      <c r="E18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8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SUSU UHT</v>
      </c>
      <c r="G182" s="88">
        <v>14.3</v>
      </c>
      <c r="H182" s="34" t="s">
        <v>6</v>
      </c>
      <c r="I18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21</v>
      </c>
      <c r="J182" s="89">
        <f>IF(tblDetailHPP[[#This Row],[KODE KOMPONEN]]="","",IF(tblDetailHPP[[#This Row],[STATUS HARGA]]="OK",ROUND(tblDetailHPP[[#This Row],[QTY PAKAI]]*tblDetailHPP[[#This Row],[HARGA PER SATUAN DASAR]],2),""))</f>
        <v>300.3</v>
      </c>
      <c r="K18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82" s="34">
        <f>IF(tblDetailHPP[[#This Row],[KODE PRODUK]]="",0,IFERROR(INDEX('PENJUALAN (QTY)'!$AH$3:$AH$500,MATCH(tblDetailHPP[[#This Row],[KODE PRODUK]],'PENJUALAN (QTY)'!$A$3:$A$500,0)),0))</f>
        <v>0</v>
      </c>
      <c r="M18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83" spans="1:13">
      <c r="A183" s="34" t="s">
        <v>189</v>
      </c>
      <c r="B183" s="34" t="str">
        <f>IFERROR(INDEX(tbl_Produk[NAMA PRODUK],MATCH(tblDetailHPP[[#This Row],[KODE PRODUK]],tbl_Produk[KODE PRODUK],0)),"")</f>
        <v>AYAM SAUS BROCHEESE</v>
      </c>
      <c r="C183" s="34" t="s">
        <v>354</v>
      </c>
      <c r="D183" s="34" t="s">
        <v>174</v>
      </c>
      <c r="E18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8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TEPUNG TERIGU</v>
      </c>
      <c r="G183" s="88">
        <v>125</v>
      </c>
      <c r="H183" s="34" t="s">
        <v>5</v>
      </c>
      <c r="I18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8</v>
      </c>
      <c r="J183" s="89">
        <f>IF(tblDetailHPP[[#This Row],[KODE KOMPONEN]]="","",IF(tblDetailHPP[[#This Row],[STATUS HARGA]]="OK",ROUND(tblDetailHPP[[#This Row],[QTY PAKAI]]*tblDetailHPP[[#This Row],[HARGA PER SATUAN DASAR]],2),""))</f>
        <v>1000</v>
      </c>
      <c r="K18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83" s="34">
        <f>IF(tblDetailHPP[[#This Row],[KODE PRODUK]]="",0,IFERROR(INDEX('PENJUALAN (QTY)'!$AH$3:$AH$500,MATCH(tblDetailHPP[[#This Row],[KODE PRODUK]],'PENJUALAN (QTY)'!$A$3:$A$500,0)),0))</f>
        <v>0</v>
      </c>
      <c r="M18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84" spans="1:13">
      <c r="A184" s="34" t="s">
        <v>189</v>
      </c>
      <c r="B184" s="34" t="str">
        <f>IFERROR(INDEX(tbl_Produk[NAMA PRODUK],MATCH(tblDetailHPP[[#This Row],[KODE PRODUK]],tbl_Produk[KODE PRODUK],0)),"")</f>
        <v>AYAM SAUS BROCHEESE</v>
      </c>
      <c r="C184" s="34" t="s">
        <v>354</v>
      </c>
      <c r="D184" s="34" t="s">
        <v>177</v>
      </c>
      <c r="E18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8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BBQ POWDER</v>
      </c>
      <c r="G184" s="88">
        <v>1.45</v>
      </c>
      <c r="H184" s="34" t="s">
        <v>5</v>
      </c>
      <c r="I18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184" s="89">
        <f>IF(tblDetailHPP[[#This Row],[KODE KOMPONEN]]="","",IF(tblDetailHPP[[#This Row],[STATUS HARGA]]="OK",ROUND(tblDetailHPP[[#This Row],[QTY PAKAI]]*tblDetailHPP[[#This Row],[HARGA PER SATUAN DASAR]],2),""))</f>
        <v>87</v>
      </c>
      <c r="K18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84" s="34">
        <f>IF(tblDetailHPP[[#This Row],[KODE PRODUK]]="",0,IFERROR(INDEX('PENJUALAN (QTY)'!$AH$3:$AH$500,MATCH(tblDetailHPP[[#This Row],[KODE PRODUK]],'PENJUALAN (QTY)'!$A$3:$A$500,0)),0))</f>
        <v>0</v>
      </c>
      <c r="M18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85" spans="1:13">
      <c r="A185" s="34" t="s">
        <v>189</v>
      </c>
      <c r="B185" s="34" t="str">
        <f>IFERROR(INDEX(tbl_Produk[NAMA PRODUK],MATCH(tblDetailHPP[[#This Row],[KODE PRODUK]],tbl_Produk[KODE PRODUK],0)),"")</f>
        <v>AYAM SAUS BROCHEESE</v>
      </c>
      <c r="C185" s="34" t="s">
        <v>354</v>
      </c>
      <c r="D185" s="34" t="s">
        <v>178</v>
      </c>
      <c r="E18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8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KEJU POWDER</v>
      </c>
      <c r="G185" s="88">
        <v>2.95</v>
      </c>
      <c r="H185" s="34" t="s">
        <v>5</v>
      </c>
      <c r="I18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185" s="89">
        <f>IF(tblDetailHPP[[#This Row],[KODE KOMPONEN]]="","",IF(tblDetailHPP[[#This Row],[STATUS HARGA]]="OK",ROUND(tblDetailHPP[[#This Row],[QTY PAKAI]]*tblDetailHPP[[#This Row],[HARGA PER SATUAN DASAR]],2),""))</f>
        <v>177</v>
      </c>
      <c r="K18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85" s="34">
        <f>IF(tblDetailHPP[[#This Row],[KODE PRODUK]]="",0,IFERROR(INDEX('PENJUALAN (QTY)'!$AH$3:$AH$500,MATCH(tblDetailHPP[[#This Row],[KODE PRODUK]],'PENJUALAN (QTY)'!$A$3:$A$500,0)),0))</f>
        <v>0</v>
      </c>
      <c r="M18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186" spans="1:13">
      <c r="A186" s="34" t="s">
        <v>190</v>
      </c>
      <c r="B186" s="34" t="str">
        <f>IFERROR(INDEX(tbl_Produk[NAMA PRODUK],MATCH(tblDetailHPP[[#This Row],[KODE PRODUK]],tbl_Produk[KODE PRODUK],0)),"")</f>
        <v>AYAM SAUS BROCHEESE + NASI</v>
      </c>
      <c r="C186" s="34" t="s">
        <v>354</v>
      </c>
      <c r="D186" s="34" t="s">
        <v>114</v>
      </c>
      <c r="E18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18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AYAM POTONG</v>
      </c>
      <c r="G186" s="88">
        <v>83.3</v>
      </c>
      <c r="H186" s="34" t="s">
        <v>5</v>
      </c>
      <c r="I18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26.5</v>
      </c>
      <c r="J186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18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86" s="34">
        <f>IF(tblDetailHPP[[#This Row],[KODE PRODUK]]="",0,IFERROR(INDEX('PENJUALAN (QTY)'!$AH$3:$AH$500,MATCH(tblDetailHPP[[#This Row],[KODE PRODUK]],'PENJUALAN (QTY)'!$A$3:$A$500,0)),0))</f>
        <v>1</v>
      </c>
      <c r="M18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2207.4499999999998</v>
      </c>
    </row>
    <row r="187" spans="1:13">
      <c r="A187" s="34" t="s">
        <v>190</v>
      </c>
      <c r="B187" s="34" t="str">
        <f>IFERROR(INDEX(tbl_Produk[NAMA PRODUK],MATCH(tblDetailHPP[[#This Row],[KODE PRODUK]],tbl_Produk[KODE PRODUK],0)),"")</f>
        <v>AYAM SAUS BROCHEESE + NASI</v>
      </c>
      <c r="C187" s="34" t="s">
        <v>354</v>
      </c>
      <c r="D187" s="34" t="s">
        <v>119</v>
      </c>
      <c r="E18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8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PUTIH</v>
      </c>
      <c r="G187" s="88">
        <v>0.75</v>
      </c>
      <c r="H187" s="34" t="s">
        <v>5</v>
      </c>
      <c r="I18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187" s="89">
        <f>IF(tblDetailHPP[[#This Row],[KODE KOMPONEN]]="","",IF(tblDetailHPP[[#This Row],[STATUS HARGA]]="OK",ROUND(tblDetailHPP[[#This Row],[QTY PAKAI]]*tblDetailHPP[[#This Row],[HARGA PER SATUAN DASAR]],2),""))</f>
        <v>30</v>
      </c>
      <c r="K18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87" s="34">
        <f>IF(tblDetailHPP[[#This Row],[KODE PRODUK]]="",0,IFERROR(INDEX('PENJUALAN (QTY)'!$AH$3:$AH$500,MATCH(tblDetailHPP[[#This Row],[KODE PRODUK]],'PENJUALAN (QTY)'!$A$3:$A$500,0)),0))</f>
        <v>1</v>
      </c>
      <c r="M18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30</v>
      </c>
    </row>
    <row r="188" spans="1:13">
      <c r="A188" s="34" t="s">
        <v>190</v>
      </c>
      <c r="B188" s="34" t="str">
        <f>IFERROR(INDEX(tbl_Produk[NAMA PRODUK],MATCH(tblDetailHPP[[#This Row],[KODE PRODUK]],tbl_Produk[KODE PRODUK],0)),"")</f>
        <v>AYAM SAUS BROCHEESE + NASI</v>
      </c>
      <c r="C188" s="34" t="s">
        <v>354</v>
      </c>
      <c r="D188" s="34" t="s">
        <v>120</v>
      </c>
      <c r="E18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18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BERAS</v>
      </c>
      <c r="G188" s="88">
        <v>76.900000000000006</v>
      </c>
      <c r="H188" s="34" t="s">
        <v>5</v>
      </c>
      <c r="I18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14</v>
      </c>
      <c r="J188" s="89">
        <f>IF(tblDetailHPP[[#This Row],[KODE KOMPONEN]]="","",IF(tblDetailHPP[[#This Row],[STATUS HARGA]]="OK",ROUND(tblDetailHPP[[#This Row],[QTY PAKAI]]*tblDetailHPP[[#This Row],[HARGA PER SATUAN DASAR]],2),""))</f>
        <v>1076.5999999999999</v>
      </c>
      <c r="K18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88" s="34">
        <f>IF(tblDetailHPP[[#This Row],[KODE PRODUK]]="",0,IFERROR(INDEX('PENJUALAN (QTY)'!$AH$3:$AH$500,MATCH(tblDetailHPP[[#This Row],[KODE PRODUK]],'PENJUALAN (QTY)'!$A$3:$A$500,0)),0))</f>
        <v>1</v>
      </c>
      <c r="M18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1076.5999999999999</v>
      </c>
    </row>
    <row r="189" spans="1:13">
      <c r="A189" s="34" t="s">
        <v>190</v>
      </c>
      <c r="B189" s="34" t="str">
        <f>IFERROR(INDEX(tbl_Produk[NAMA PRODUK],MATCH(tblDetailHPP[[#This Row],[KODE PRODUK]],tbl_Produk[KODE PRODUK],0)),"")</f>
        <v>AYAM SAUS BROCHEESE + NASI</v>
      </c>
      <c r="C189" s="34" t="s">
        <v>354</v>
      </c>
      <c r="D189" s="34" t="s">
        <v>121</v>
      </c>
      <c r="E18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8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BUMBU MARINASI</v>
      </c>
      <c r="G189" s="88">
        <v>2.5</v>
      </c>
      <c r="H189" s="34" t="s">
        <v>5</v>
      </c>
      <c r="I18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71.666666666666671</v>
      </c>
      <c r="J189" s="89">
        <f>IF(tblDetailHPP[[#This Row],[KODE KOMPONEN]]="","",IF(tblDetailHPP[[#This Row],[STATUS HARGA]]="OK",ROUND(tblDetailHPP[[#This Row],[QTY PAKAI]]*tblDetailHPP[[#This Row],[HARGA PER SATUAN DASAR]],2),""))</f>
        <v>179.17</v>
      </c>
      <c r="K18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89" s="34">
        <f>IF(tblDetailHPP[[#This Row],[KODE PRODUK]]="",0,IFERROR(INDEX('PENJUALAN (QTY)'!$AH$3:$AH$500,MATCH(tblDetailHPP[[#This Row],[KODE PRODUK]],'PENJUALAN (QTY)'!$A$3:$A$500,0)),0))</f>
        <v>1</v>
      </c>
      <c r="M18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179.17</v>
      </c>
    </row>
    <row r="190" spans="1:13">
      <c r="A190" s="34" t="s">
        <v>190</v>
      </c>
      <c r="B190" s="34" t="str">
        <f>IFERROR(INDEX(tbl_Produk[NAMA PRODUK],MATCH(tblDetailHPP[[#This Row],[KODE PRODUK]],tbl_Produk[KODE PRODUK],0)),"")</f>
        <v>AYAM SAUS BROCHEESE + NASI</v>
      </c>
      <c r="C190" s="34" t="s">
        <v>354</v>
      </c>
      <c r="D190" s="34" t="s">
        <v>123</v>
      </c>
      <c r="E19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9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KERING</v>
      </c>
      <c r="G190" s="88">
        <v>1.7</v>
      </c>
      <c r="H190" s="34" t="s">
        <v>5</v>
      </c>
      <c r="I19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190" s="89">
        <f>IF(tblDetailHPP[[#This Row],[KODE KOMPONEN]]="","",IF(tblDetailHPP[[#This Row],[STATUS HARGA]]="OK",ROUND(tblDetailHPP[[#This Row],[QTY PAKAI]]*tblDetailHPP[[#This Row],[HARGA PER SATUAN DASAR]],2),""))</f>
        <v>170</v>
      </c>
      <c r="K19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90" s="34">
        <f>IF(tblDetailHPP[[#This Row],[KODE PRODUK]]="",0,IFERROR(INDEX('PENJUALAN (QTY)'!$AH$3:$AH$500,MATCH(tblDetailHPP[[#This Row],[KODE PRODUK]],'PENJUALAN (QTY)'!$A$3:$A$500,0)),0))</f>
        <v>1</v>
      </c>
      <c r="M19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170</v>
      </c>
    </row>
    <row r="191" spans="1:13">
      <c r="A191" s="34" t="s">
        <v>190</v>
      </c>
      <c r="B191" s="34" t="str">
        <f>IFERROR(INDEX(tbl_Produk[NAMA PRODUK],MATCH(tblDetailHPP[[#This Row],[KODE PRODUK]],tbl_Produk[KODE PRODUK],0)),"")</f>
        <v>AYAM SAUS BROCHEESE + NASI</v>
      </c>
      <c r="C191" s="34" t="s">
        <v>354</v>
      </c>
      <c r="D191" s="34" t="s">
        <v>130</v>
      </c>
      <c r="E19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9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60 ML</v>
      </c>
      <c r="G191" s="88">
        <v>1</v>
      </c>
      <c r="H191" s="34" t="s">
        <v>4</v>
      </c>
      <c r="I19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</v>
      </c>
      <c r="J191" s="89">
        <f>IF(tblDetailHPP[[#This Row],[KODE KOMPONEN]]="","",IF(tblDetailHPP[[#This Row],[STATUS HARGA]]="OK",ROUND(tblDetailHPP[[#This Row],[QTY PAKAI]]*tblDetailHPP[[#This Row],[HARGA PER SATUAN DASAR]],2),""))</f>
        <v>300</v>
      </c>
      <c r="K19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91" s="34">
        <f>IF(tblDetailHPP[[#This Row],[KODE PRODUK]]="",0,IFERROR(INDEX('PENJUALAN (QTY)'!$AH$3:$AH$500,MATCH(tblDetailHPP[[#This Row],[KODE PRODUK]],'PENJUALAN (QTY)'!$A$3:$A$500,0)),0))</f>
        <v>1</v>
      </c>
      <c r="M19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300</v>
      </c>
    </row>
    <row r="192" spans="1:13">
      <c r="A192" s="34" t="s">
        <v>190</v>
      </c>
      <c r="B192" s="34" t="str">
        <f>IFERROR(INDEX(tbl_Produk[NAMA PRODUK],MATCH(tblDetailHPP[[#This Row],[KODE PRODUK]],tbl_Produk[KODE PRODUK],0)),"")</f>
        <v>AYAM SAUS BROCHEESE + NASI</v>
      </c>
      <c r="C192" s="34" t="s">
        <v>354</v>
      </c>
      <c r="D192" s="34" t="s">
        <v>135</v>
      </c>
      <c r="E19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9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GULA MERAH</v>
      </c>
      <c r="G192" s="88">
        <v>1.8</v>
      </c>
      <c r="H192" s="34" t="s">
        <v>5</v>
      </c>
      <c r="I19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</v>
      </c>
      <c r="J192" s="89">
        <f>IF(tblDetailHPP[[#This Row],[KODE KOMPONEN]]="","",IF(tblDetailHPP[[#This Row],[STATUS HARGA]]="OK",ROUND(tblDetailHPP[[#This Row],[QTY PAKAI]]*tblDetailHPP[[#This Row],[HARGA PER SATUAN DASAR]],2),""))</f>
        <v>43.2</v>
      </c>
      <c r="K19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92" s="34">
        <f>IF(tblDetailHPP[[#This Row],[KODE PRODUK]]="",0,IFERROR(INDEX('PENJUALAN (QTY)'!$AH$3:$AH$500,MATCH(tblDetailHPP[[#This Row],[KODE PRODUK]],'PENJUALAN (QTY)'!$A$3:$A$500,0)),0))</f>
        <v>1</v>
      </c>
      <c r="M19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43.2</v>
      </c>
    </row>
    <row r="193" spans="1:13">
      <c r="A193" s="34" t="s">
        <v>190</v>
      </c>
      <c r="B193" s="34" t="str">
        <f>IFERROR(INDEX(tbl_Produk[NAMA PRODUK],MATCH(tblDetailHPP[[#This Row],[KODE PRODUK]],tbl_Produk[KODE PRODUK],0)),"")</f>
        <v>AYAM SAUS BROCHEESE + NASI</v>
      </c>
      <c r="C193" s="34" t="s">
        <v>354</v>
      </c>
      <c r="D193" s="34" t="s">
        <v>139</v>
      </c>
      <c r="E19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9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KEJU CHEDDAR</v>
      </c>
      <c r="G193" s="88">
        <v>7.35</v>
      </c>
      <c r="H193" s="34" t="s">
        <v>5</v>
      </c>
      <c r="I19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52</v>
      </c>
      <c r="J193" s="89">
        <f>IF(tblDetailHPP[[#This Row],[KODE KOMPONEN]]="","",IF(tblDetailHPP[[#This Row],[STATUS HARGA]]="OK",ROUND(tblDetailHPP[[#This Row],[QTY PAKAI]]*tblDetailHPP[[#This Row],[HARGA PER SATUAN DASAR]],2),""))</f>
        <v>382.2</v>
      </c>
      <c r="K19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93" s="34">
        <f>IF(tblDetailHPP[[#This Row],[KODE PRODUK]]="",0,IFERROR(INDEX('PENJUALAN (QTY)'!$AH$3:$AH$500,MATCH(tblDetailHPP[[#This Row],[KODE PRODUK]],'PENJUALAN (QTY)'!$A$3:$A$500,0)),0))</f>
        <v>1</v>
      </c>
      <c r="M19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382.2</v>
      </c>
    </row>
    <row r="194" spans="1:13">
      <c r="A194" s="34" t="s">
        <v>190</v>
      </c>
      <c r="B194" s="34" t="str">
        <f>IFERROR(INDEX(tbl_Produk[NAMA PRODUK],MATCH(tblDetailHPP[[#This Row],[KODE PRODUK]],tbl_Produk[KODE PRODUK],0)),"")</f>
        <v>AYAM SAUS BROCHEESE + NASI</v>
      </c>
      <c r="C194" s="34" t="s">
        <v>354</v>
      </c>
      <c r="D194" s="34" t="s">
        <v>142</v>
      </c>
      <c r="E19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9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194" s="88">
        <v>15</v>
      </c>
      <c r="H194" s="34" t="s">
        <v>222</v>
      </c>
      <c r="I19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194" s="89">
        <f>IF(tblDetailHPP[[#This Row],[KODE KOMPONEN]]="","",IF(tblDetailHPP[[#This Row],[STATUS HARGA]]="OK",ROUND(tblDetailHPP[[#This Row],[QTY PAKAI]]*tblDetailHPP[[#This Row],[HARGA PER SATUAN DASAR]],2),""))</f>
        <v>75</v>
      </c>
      <c r="K19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94" s="34">
        <f>IF(tblDetailHPP[[#This Row],[KODE PRODUK]]="",0,IFERROR(INDEX('PENJUALAN (QTY)'!$AH$3:$AH$500,MATCH(tblDetailHPP[[#This Row],[KODE PRODUK]],'PENJUALAN (QTY)'!$A$3:$A$500,0)),0))</f>
        <v>1</v>
      </c>
      <c r="M19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75</v>
      </c>
    </row>
    <row r="195" spans="1:13">
      <c r="A195" s="34" t="s">
        <v>190</v>
      </c>
      <c r="B195" s="34" t="str">
        <f>IFERROR(INDEX(tbl_Produk[NAMA PRODUK],MATCH(tblDetailHPP[[#This Row],[KODE PRODUK]],tbl_Produk[KODE PRODUK],0)),"")</f>
        <v>AYAM SAUS BROCHEESE + NASI</v>
      </c>
      <c r="C195" s="34" t="s">
        <v>354</v>
      </c>
      <c r="D195" s="34" t="s">
        <v>143</v>
      </c>
      <c r="E19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19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195" s="88">
        <v>26</v>
      </c>
      <c r="H195" s="34" t="s">
        <v>5</v>
      </c>
      <c r="I19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195" s="89">
        <f>IF(tblDetailHPP[[#This Row],[KODE KOMPONEN]]="","",IF(tblDetailHPP[[#This Row],[STATUS HARGA]]="OK",ROUND(tblDetailHPP[[#This Row],[QTY PAKAI]]*tblDetailHPP[[#This Row],[HARGA PER SATUAN DASAR]],2),""))</f>
        <v>199.33</v>
      </c>
      <c r="K19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95" s="34">
        <f>IF(tblDetailHPP[[#This Row],[KODE PRODUK]]="",0,IFERROR(INDEX('PENJUALAN (QTY)'!$AH$3:$AH$500,MATCH(tblDetailHPP[[#This Row],[KODE PRODUK]],'PENJUALAN (QTY)'!$A$3:$A$500,0)),0))</f>
        <v>1</v>
      </c>
      <c r="M19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199.33</v>
      </c>
    </row>
    <row r="196" spans="1:13">
      <c r="A196" s="34" t="s">
        <v>190</v>
      </c>
      <c r="B196" s="34" t="str">
        <f>IFERROR(INDEX(tbl_Produk[NAMA PRODUK],MATCH(tblDetailHPP[[#This Row],[KODE PRODUK]],tbl_Produk[KODE PRODUK],0)),"")</f>
        <v>AYAM SAUS BROCHEESE + NASI</v>
      </c>
      <c r="C196" s="34" t="s">
        <v>354</v>
      </c>
      <c r="D196" s="34" t="s">
        <v>145</v>
      </c>
      <c r="E19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9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LUNCHBOX M</v>
      </c>
      <c r="G196" s="88">
        <v>1</v>
      </c>
      <c r="H196" s="34" t="s">
        <v>4</v>
      </c>
      <c r="I19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550</v>
      </c>
      <c r="J196" s="89">
        <f>IF(tblDetailHPP[[#This Row],[KODE KOMPONEN]]="","",IF(tblDetailHPP[[#This Row],[STATUS HARGA]]="OK",ROUND(tblDetailHPP[[#This Row],[QTY PAKAI]]*tblDetailHPP[[#This Row],[HARGA PER SATUAN DASAR]],2),""))</f>
        <v>550</v>
      </c>
      <c r="K19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96" s="34">
        <f>IF(tblDetailHPP[[#This Row],[KODE PRODUK]]="",0,IFERROR(INDEX('PENJUALAN (QTY)'!$AH$3:$AH$500,MATCH(tblDetailHPP[[#This Row],[KODE PRODUK]],'PENJUALAN (QTY)'!$A$3:$A$500,0)),0))</f>
        <v>1</v>
      </c>
      <c r="M19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550</v>
      </c>
    </row>
    <row r="197" spans="1:13">
      <c r="A197" s="34" t="s">
        <v>190</v>
      </c>
      <c r="B197" s="34" t="str">
        <f>IFERROR(INDEX(tbl_Produk[NAMA PRODUK],MATCH(tblDetailHPP[[#This Row],[KODE PRODUK]],tbl_Produk[KODE PRODUK],0)),"")</f>
        <v>AYAM SAUS BROCHEESE + NASI</v>
      </c>
      <c r="C197" s="34" t="s">
        <v>354</v>
      </c>
      <c r="D197" s="34" t="s">
        <v>150</v>
      </c>
      <c r="E19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9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197" s="88">
        <v>50</v>
      </c>
      <c r="H197" s="34" t="s">
        <v>6</v>
      </c>
      <c r="I19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197" s="89">
        <f>IF(tblDetailHPP[[#This Row],[KODE KOMPONEN]]="","",IF(tblDetailHPP[[#This Row],[STATUS HARGA]]="OK",ROUND(tblDetailHPP[[#This Row],[QTY PAKAI]]*tblDetailHPP[[#This Row],[HARGA PER SATUAN DASAR]],2),""))</f>
        <v>1150</v>
      </c>
      <c r="K19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97" s="34">
        <f>IF(tblDetailHPP[[#This Row],[KODE PRODUK]]="",0,IFERROR(INDEX('PENJUALAN (QTY)'!$AH$3:$AH$500,MATCH(tblDetailHPP[[#This Row],[KODE PRODUK]],'PENJUALAN (QTY)'!$A$3:$A$500,0)),0))</f>
        <v>1</v>
      </c>
      <c r="M19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1150</v>
      </c>
    </row>
    <row r="198" spans="1:13">
      <c r="A198" s="34" t="s">
        <v>190</v>
      </c>
      <c r="B198" s="34" t="str">
        <f>IFERROR(INDEX(tbl_Produk[NAMA PRODUK],MATCH(tblDetailHPP[[#This Row],[KODE PRODUK]],tbl_Produk[KODE PRODUK],0)),"")</f>
        <v>AYAM SAUS BROCHEESE + NASI</v>
      </c>
      <c r="C198" s="34" t="s">
        <v>354</v>
      </c>
      <c r="D198" s="34" t="s">
        <v>152</v>
      </c>
      <c r="E19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19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NANAS</v>
      </c>
      <c r="G198" s="88">
        <v>1</v>
      </c>
      <c r="H198" s="34" t="s">
        <v>110</v>
      </c>
      <c r="I19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142.85714285714286</v>
      </c>
      <c r="J198" s="89">
        <f>IF(tblDetailHPP[[#This Row],[KODE KOMPONEN]]="","",IF(tblDetailHPP[[#This Row],[STATUS HARGA]]="OK",ROUND(tblDetailHPP[[#This Row],[QTY PAKAI]]*tblDetailHPP[[#This Row],[HARGA PER SATUAN DASAR]],2),""))</f>
        <v>142.86000000000001</v>
      </c>
      <c r="K19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98" s="34">
        <f>IF(tblDetailHPP[[#This Row],[KODE PRODUK]]="",0,IFERROR(INDEX('PENJUALAN (QTY)'!$AH$3:$AH$500,MATCH(tblDetailHPP[[#This Row],[KODE PRODUK]],'PENJUALAN (QTY)'!$A$3:$A$500,0)),0))</f>
        <v>1</v>
      </c>
      <c r="M19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142.86000000000001</v>
      </c>
    </row>
    <row r="199" spans="1:13">
      <c r="A199" s="34" t="s">
        <v>190</v>
      </c>
      <c r="B199" s="34" t="str">
        <f>IFERROR(INDEX(tbl_Produk[NAMA PRODUK],MATCH(tblDetailHPP[[#This Row],[KODE PRODUK]],tbl_Produk[KODE PRODUK],0)),"")</f>
        <v>AYAM SAUS BROCHEESE + NASI</v>
      </c>
      <c r="C199" s="34" t="s">
        <v>354</v>
      </c>
      <c r="D199" s="34" t="s">
        <v>156</v>
      </c>
      <c r="E19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19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PAPER RICE</v>
      </c>
      <c r="G199" s="88">
        <v>1</v>
      </c>
      <c r="H199" s="34" t="s">
        <v>76</v>
      </c>
      <c r="I19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199" s="89">
        <f>IF(tblDetailHPP[[#This Row],[KODE KOMPONEN]]="","",IF(tblDetailHPP[[#This Row],[STATUS HARGA]]="OK",ROUND(tblDetailHPP[[#This Row],[QTY PAKAI]]*tblDetailHPP[[#This Row],[HARGA PER SATUAN DASAR]],2),""))</f>
        <v>100</v>
      </c>
      <c r="K19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199" s="34">
        <f>IF(tblDetailHPP[[#This Row],[KODE PRODUK]]="",0,IFERROR(INDEX('PENJUALAN (QTY)'!$AH$3:$AH$500,MATCH(tblDetailHPP[[#This Row],[KODE PRODUK]],'PENJUALAN (QTY)'!$A$3:$A$500,0)),0))</f>
        <v>1</v>
      </c>
      <c r="M19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100</v>
      </c>
    </row>
    <row r="200" spans="1:13">
      <c r="A200" s="34" t="s">
        <v>190</v>
      </c>
      <c r="B200" s="34" t="str">
        <f>IFERROR(INDEX(tbl_Produk[NAMA PRODUK],MATCH(tblDetailHPP[[#This Row],[KODE PRODUK]],tbl_Produk[KODE PRODUK],0)),"")</f>
        <v>AYAM SAUS BROCHEESE + NASI</v>
      </c>
      <c r="C200" s="34" t="s">
        <v>354</v>
      </c>
      <c r="D200" s="34" t="s">
        <v>159</v>
      </c>
      <c r="E20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0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21</v>
      </c>
      <c r="G200" s="88">
        <v>1</v>
      </c>
      <c r="H200" s="34" t="s">
        <v>4</v>
      </c>
      <c r="I20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200" s="89">
        <f>IF(tblDetailHPP[[#This Row],[KODE KOMPONEN]]="","",IF(tblDetailHPP[[#This Row],[STATUS HARGA]]="OK",ROUND(tblDetailHPP[[#This Row],[QTY PAKAI]]*tblDetailHPP[[#This Row],[HARGA PER SATUAN DASAR]],2),""))</f>
        <v>280</v>
      </c>
      <c r="K20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00" s="34">
        <f>IF(tblDetailHPP[[#This Row],[KODE PRODUK]]="",0,IFERROR(INDEX('PENJUALAN (QTY)'!$AH$3:$AH$500,MATCH(tblDetailHPP[[#This Row],[KODE PRODUK]],'PENJUALAN (QTY)'!$A$3:$A$500,0)),0))</f>
        <v>1</v>
      </c>
      <c r="M20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280</v>
      </c>
    </row>
    <row r="201" spans="1:13">
      <c r="A201" s="34" t="s">
        <v>190</v>
      </c>
      <c r="B201" s="34" t="str">
        <f>IFERROR(INDEX(tbl_Produk[NAMA PRODUK],MATCH(tblDetailHPP[[#This Row],[KODE PRODUK]],tbl_Produk[KODE PRODUK],0)),"")</f>
        <v>AYAM SAUS BROCHEESE + NASI</v>
      </c>
      <c r="C201" s="34" t="s">
        <v>354</v>
      </c>
      <c r="D201" s="34" t="s">
        <v>163</v>
      </c>
      <c r="E20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0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PASTA BBQ</v>
      </c>
      <c r="G201" s="88">
        <v>7.15</v>
      </c>
      <c r="H201" s="34" t="s">
        <v>6</v>
      </c>
      <c r="I20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31</v>
      </c>
      <c r="J201" s="89">
        <f>IF(tblDetailHPP[[#This Row],[KODE KOMPONEN]]="","",IF(tblDetailHPP[[#This Row],[STATUS HARGA]]="OK",ROUND(tblDetailHPP[[#This Row],[QTY PAKAI]]*tblDetailHPP[[#This Row],[HARGA PER SATUAN DASAR]],2),""))</f>
        <v>221.65</v>
      </c>
      <c r="K20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01" s="34">
        <f>IF(tblDetailHPP[[#This Row],[KODE PRODUK]]="",0,IFERROR(INDEX('PENJUALAN (QTY)'!$AH$3:$AH$500,MATCH(tblDetailHPP[[#This Row],[KODE PRODUK]],'PENJUALAN (QTY)'!$A$3:$A$500,0)),0))</f>
        <v>1</v>
      </c>
      <c r="M20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221.65</v>
      </c>
    </row>
    <row r="202" spans="1:13">
      <c r="A202" s="34" t="s">
        <v>190</v>
      </c>
      <c r="B202" s="34" t="str">
        <f>IFERROR(INDEX(tbl_Produk[NAMA PRODUK],MATCH(tblDetailHPP[[#This Row],[KODE PRODUK]],tbl_Produk[KODE PRODUK],0)),"")</f>
        <v>AYAM SAUS BROCHEESE + NASI</v>
      </c>
      <c r="C202" s="34" t="s">
        <v>354</v>
      </c>
      <c r="D202" s="34" t="s">
        <v>166</v>
      </c>
      <c r="E20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0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TOMAT POUCH</v>
      </c>
      <c r="G202" s="88">
        <v>7.15</v>
      </c>
      <c r="H202" s="34" t="s">
        <v>6</v>
      </c>
      <c r="I20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17</v>
      </c>
      <c r="J202" s="89">
        <f>IF(tblDetailHPP[[#This Row],[KODE KOMPONEN]]="","",IF(tblDetailHPP[[#This Row],[STATUS HARGA]]="OK",ROUND(tblDetailHPP[[#This Row],[QTY PAKAI]]*tblDetailHPP[[#This Row],[HARGA PER SATUAN DASAR]],2),""))</f>
        <v>121.55</v>
      </c>
      <c r="K20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02" s="34">
        <f>IF(tblDetailHPP[[#This Row],[KODE PRODUK]]="",0,IFERROR(INDEX('PENJUALAN (QTY)'!$AH$3:$AH$500,MATCH(tblDetailHPP[[#This Row],[KODE PRODUK]],'PENJUALAN (QTY)'!$A$3:$A$500,0)),0))</f>
        <v>1</v>
      </c>
      <c r="M20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121.55</v>
      </c>
    </row>
    <row r="203" spans="1:13">
      <c r="A203" s="34" t="s">
        <v>190</v>
      </c>
      <c r="B203" s="34" t="str">
        <f>IFERROR(INDEX(tbl_Produk[NAMA PRODUK],MATCH(tblDetailHPP[[#This Row],[KODE PRODUK]],tbl_Produk[KODE PRODUK],0)),"")</f>
        <v>AYAM SAUS BROCHEESE + NASI</v>
      </c>
      <c r="C203" s="34" t="s">
        <v>354</v>
      </c>
      <c r="D203" s="34" t="s">
        <v>168</v>
      </c>
      <c r="E20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0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SMOKE LIQUID</v>
      </c>
      <c r="G203" s="88">
        <v>0.1</v>
      </c>
      <c r="H203" s="34" t="s">
        <v>5</v>
      </c>
      <c r="I20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244</v>
      </c>
      <c r="J203" s="89">
        <f>IF(tblDetailHPP[[#This Row],[KODE KOMPONEN]]="","",IF(tblDetailHPP[[#This Row],[STATUS HARGA]]="OK",ROUND(tblDetailHPP[[#This Row],[QTY PAKAI]]*tblDetailHPP[[#This Row],[HARGA PER SATUAN DASAR]],2),""))</f>
        <v>24.4</v>
      </c>
      <c r="K20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03" s="34">
        <f>IF(tblDetailHPP[[#This Row],[KODE PRODUK]]="",0,IFERROR(INDEX('PENJUALAN (QTY)'!$AH$3:$AH$500,MATCH(tblDetailHPP[[#This Row],[KODE PRODUK]],'PENJUALAN (QTY)'!$A$3:$A$500,0)),0))</f>
        <v>1</v>
      </c>
      <c r="M20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24.4</v>
      </c>
    </row>
    <row r="204" spans="1:13">
      <c r="A204" s="34" t="s">
        <v>190</v>
      </c>
      <c r="B204" s="34" t="str">
        <f>IFERROR(INDEX(tbl_Produk[NAMA PRODUK],MATCH(tblDetailHPP[[#This Row],[KODE PRODUK]],tbl_Produk[KODE PRODUK],0)),"")</f>
        <v>AYAM SAUS BROCHEESE + NASI</v>
      </c>
      <c r="C204" s="34" t="s">
        <v>354</v>
      </c>
      <c r="D204" s="34" t="s">
        <v>170</v>
      </c>
      <c r="E20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0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204" s="88">
        <v>1</v>
      </c>
      <c r="H204" s="34" t="s">
        <v>4</v>
      </c>
      <c r="I20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204" s="89">
        <f>IF(tblDetailHPP[[#This Row],[KODE KOMPONEN]]="","",IF(tblDetailHPP[[#This Row],[STATUS HARGA]]="OK",ROUND(tblDetailHPP[[#This Row],[QTY PAKAI]]*tblDetailHPP[[#This Row],[HARGA PER SATUAN DASAR]],2),""))</f>
        <v>129.87</v>
      </c>
      <c r="K20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04" s="34">
        <f>IF(tblDetailHPP[[#This Row],[KODE PRODUK]]="",0,IFERROR(INDEX('PENJUALAN (QTY)'!$AH$3:$AH$500,MATCH(tblDetailHPP[[#This Row],[KODE PRODUK]],'PENJUALAN (QTY)'!$A$3:$A$500,0)),0))</f>
        <v>1</v>
      </c>
      <c r="M20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129.87</v>
      </c>
    </row>
    <row r="205" spans="1:13">
      <c r="A205" s="34" t="s">
        <v>190</v>
      </c>
      <c r="B205" s="34" t="str">
        <f>IFERROR(INDEX(tbl_Produk[NAMA PRODUK],MATCH(tblDetailHPP[[#This Row],[KODE PRODUK]],tbl_Produk[KODE PRODUK],0)),"")</f>
        <v>AYAM SAUS BROCHEESE + NASI</v>
      </c>
      <c r="C205" s="34" t="s">
        <v>354</v>
      </c>
      <c r="D205" s="34" t="s">
        <v>171</v>
      </c>
      <c r="E20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0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SUSU UHT</v>
      </c>
      <c r="G205" s="88">
        <v>14.3</v>
      </c>
      <c r="H205" s="34" t="s">
        <v>6</v>
      </c>
      <c r="I20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21</v>
      </c>
      <c r="J205" s="89">
        <f>IF(tblDetailHPP[[#This Row],[KODE KOMPONEN]]="","",IF(tblDetailHPP[[#This Row],[STATUS HARGA]]="OK",ROUND(tblDetailHPP[[#This Row],[QTY PAKAI]]*tblDetailHPP[[#This Row],[HARGA PER SATUAN DASAR]],2),""))</f>
        <v>300.3</v>
      </c>
      <c r="K20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05" s="34">
        <f>IF(tblDetailHPP[[#This Row],[KODE PRODUK]]="",0,IFERROR(INDEX('PENJUALAN (QTY)'!$AH$3:$AH$500,MATCH(tblDetailHPP[[#This Row],[KODE PRODUK]],'PENJUALAN (QTY)'!$A$3:$A$500,0)),0))</f>
        <v>1</v>
      </c>
      <c r="M20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300.3</v>
      </c>
    </row>
    <row r="206" spans="1:13">
      <c r="A206" s="34" t="s">
        <v>190</v>
      </c>
      <c r="B206" s="34" t="str">
        <f>IFERROR(INDEX(tbl_Produk[NAMA PRODUK],MATCH(tblDetailHPP[[#This Row],[KODE PRODUK]],tbl_Produk[KODE PRODUK],0)),"")</f>
        <v>AYAM SAUS BROCHEESE + NASI</v>
      </c>
      <c r="C206" s="34" t="s">
        <v>354</v>
      </c>
      <c r="D206" s="34" t="s">
        <v>174</v>
      </c>
      <c r="E20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0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TEPUNG TERIGU</v>
      </c>
      <c r="G206" s="88">
        <v>125</v>
      </c>
      <c r="H206" s="34" t="s">
        <v>5</v>
      </c>
      <c r="I20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8</v>
      </c>
      <c r="J206" s="89">
        <f>IF(tblDetailHPP[[#This Row],[KODE KOMPONEN]]="","",IF(tblDetailHPP[[#This Row],[STATUS HARGA]]="OK",ROUND(tblDetailHPP[[#This Row],[QTY PAKAI]]*tblDetailHPP[[#This Row],[HARGA PER SATUAN DASAR]],2),""))</f>
        <v>1000</v>
      </c>
      <c r="K20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06" s="34">
        <f>IF(tblDetailHPP[[#This Row],[KODE PRODUK]]="",0,IFERROR(INDEX('PENJUALAN (QTY)'!$AH$3:$AH$500,MATCH(tblDetailHPP[[#This Row],[KODE PRODUK]],'PENJUALAN (QTY)'!$A$3:$A$500,0)),0))</f>
        <v>1</v>
      </c>
      <c r="M20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1000</v>
      </c>
    </row>
    <row r="207" spans="1:13">
      <c r="A207" s="34" t="s">
        <v>190</v>
      </c>
      <c r="B207" s="34" t="str">
        <f>IFERROR(INDEX(tbl_Produk[NAMA PRODUK],MATCH(tblDetailHPP[[#This Row],[KODE PRODUK]],tbl_Produk[KODE PRODUK],0)),"")</f>
        <v>AYAM SAUS BROCHEESE + NASI</v>
      </c>
      <c r="C207" s="34" t="s">
        <v>354</v>
      </c>
      <c r="D207" s="34" t="s">
        <v>177</v>
      </c>
      <c r="E20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0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BBQ POWDER</v>
      </c>
      <c r="G207" s="88">
        <v>1.45</v>
      </c>
      <c r="H207" s="34" t="s">
        <v>5</v>
      </c>
      <c r="I20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207" s="89">
        <f>IF(tblDetailHPP[[#This Row],[KODE KOMPONEN]]="","",IF(tblDetailHPP[[#This Row],[STATUS HARGA]]="OK",ROUND(tblDetailHPP[[#This Row],[QTY PAKAI]]*tblDetailHPP[[#This Row],[HARGA PER SATUAN DASAR]],2),""))</f>
        <v>87</v>
      </c>
      <c r="K20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07" s="34">
        <f>IF(tblDetailHPP[[#This Row],[KODE PRODUK]]="",0,IFERROR(INDEX('PENJUALAN (QTY)'!$AH$3:$AH$500,MATCH(tblDetailHPP[[#This Row],[KODE PRODUK]],'PENJUALAN (QTY)'!$A$3:$A$500,0)),0))</f>
        <v>1</v>
      </c>
      <c r="M20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87</v>
      </c>
    </row>
    <row r="208" spans="1:13">
      <c r="A208" s="34" t="s">
        <v>190</v>
      </c>
      <c r="B208" s="34" t="str">
        <f>IFERROR(INDEX(tbl_Produk[NAMA PRODUK],MATCH(tblDetailHPP[[#This Row],[KODE PRODUK]],tbl_Produk[KODE PRODUK],0)),"")</f>
        <v>AYAM SAUS BROCHEESE + NASI</v>
      </c>
      <c r="C208" s="34" t="s">
        <v>354</v>
      </c>
      <c r="D208" s="34" t="s">
        <v>178</v>
      </c>
      <c r="E20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0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KEJU POWDER</v>
      </c>
      <c r="G208" s="88">
        <v>2.95</v>
      </c>
      <c r="H208" s="34" t="s">
        <v>5</v>
      </c>
      <c r="I20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208" s="89">
        <f>IF(tblDetailHPP[[#This Row],[KODE KOMPONEN]]="","",IF(tblDetailHPP[[#This Row],[STATUS HARGA]]="OK",ROUND(tblDetailHPP[[#This Row],[QTY PAKAI]]*tblDetailHPP[[#This Row],[HARGA PER SATUAN DASAR]],2),""))</f>
        <v>177</v>
      </c>
      <c r="K20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08" s="34">
        <f>IF(tblDetailHPP[[#This Row],[KODE PRODUK]]="",0,IFERROR(INDEX('PENJUALAN (QTY)'!$AH$3:$AH$500,MATCH(tblDetailHPP[[#This Row],[KODE PRODUK]],'PENJUALAN (QTY)'!$A$3:$A$500,0)),0))</f>
        <v>1</v>
      </c>
      <c r="M20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177</v>
      </c>
    </row>
    <row r="209" spans="1:13">
      <c r="A209" s="34" t="s">
        <v>191</v>
      </c>
      <c r="B209" s="34" t="str">
        <f>IFERROR(INDEX(tbl_Produk[NAMA PRODUK],MATCH(tblDetailHPP[[#This Row],[KODE PRODUK]],tbl_Produk[KODE PRODUK],0)),"")</f>
        <v>AYAM SAUS CREAMY CHEESE</v>
      </c>
      <c r="C209" s="34" t="s">
        <v>354</v>
      </c>
      <c r="D209" s="34" t="s">
        <v>114</v>
      </c>
      <c r="E20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20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AYAM POTONG</v>
      </c>
      <c r="G209" s="88">
        <v>83.3</v>
      </c>
      <c r="H209" s="34" t="s">
        <v>5</v>
      </c>
      <c r="I20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26.5</v>
      </c>
      <c r="J209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20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09" s="34">
        <f>IF(tblDetailHPP[[#This Row],[KODE PRODUK]]="",0,IFERROR(INDEX('PENJUALAN (QTY)'!$AH$3:$AH$500,MATCH(tblDetailHPP[[#This Row],[KODE PRODUK]],'PENJUALAN (QTY)'!$A$3:$A$500,0)),0))</f>
        <v>0</v>
      </c>
      <c r="M20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10" spans="1:13">
      <c r="A210" s="34" t="s">
        <v>191</v>
      </c>
      <c r="B210" s="34" t="str">
        <f>IFERROR(INDEX(tbl_Produk[NAMA PRODUK],MATCH(tblDetailHPP[[#This Row],[KODE PRODUK]],tbl_Produk[KODE PRODUK],0)),"")</f>
        <v>AYAM SAUS CREAMY CHEESE</v>
      </c>
      <c r="C210" s="34" t="s">
        <v>354</v>
      </c>
      <c r="D210" s="34" t="s">
        <v>121</v>
      </c>
      <c r="E21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1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BUMBU MARINASI</v>
      </c>
      <c r="G210" s="88">
        <v>2.5</v>
      </c>
      <c r="H210" s="34" t="s">
        <v>5</v>
      </c>
      <c r="I21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71.666666666666671</v>
      </c>
      <c r="J210" s="89">
        <f>IF(tblDetailHPP[[#This Row],[KODE KOMPONEN]]="","",IF(tblDetailHPP[[#This Row],[STATUS HARGA]]="OK",ROUND(tblDetailHPP[[#This Row],[QTY PAKAI]]*tblDetailHPP[[#This Row],[HARGA PER SATUAN DASAR]],2),""))</f>
        <v>179.17</v>
      </c>
      <c r="K21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10" s="34">
        <f>IF(tblDetailHPP[[#This Row],[KODE PRODUK]]="",0,IFERROR(INDEX('PENJUALAN (QTY)'!$AH$3:$AH$500,MATCH(tblDetailHPP[[#This Row],[KODE PRODUK]],'PENJUALAN (QTY)'!$A$3:$A$500,0)),0))</f>
        <v>0</v>
      </c>
      <c r="M21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11" spans="1:13">
      <c r="A211" s="34" t="s">
        <v>191</v>
      </c>
      <c r="B211" s="34" t="str">
        <f>IFERROR(INDEX(tbl_Produk[NAMA PRODUK],MATCH(tblDetailHPP[[#This Row],[KODE PRODUK]],tbl_Produk[KODE PRODUK],0)),"")</f>
        <v>AYAM SAUS CREAMY CHEESE</v>
      </c>
      <c r="C211" s="34" t="s">
        <v>354</v>
      </c>
      <c r="D211" s="34" t="s">
        <v>123</v>
      </c>
      <c r="E211" s="34" t="str">
        <f>IF(tblDetailHPP[[#This Row],[KODE KOMPONEN]]="","",IFERROR(INDEX(tbl_BahanBaku[KATEGORI HPP],MATCH(tblDetailHPP[[#This Row],[KODE KOMPONEN]],tbl_BahanBaku[KODE KOMPONEN],0)),""))</f>
        <v>BUMBU &amp; PELENGKAP</v>
      </c>
      <c r="F211" s="34" t="str">
        <f>IF(tblDetailHPP[[#This Row],[KODE KOMPONEN]]="","",IFERROR(INDEX(tbl_BahanBaku[NAMA KOMPONEN],MATCH(tblDetailHPP[[#This Row],[KODE KOMPONEN]],tbl_BahanBaku[KODE KOMPONEN],0)),""))</f>
        <v>CABAI KERING</v>
      </c>
      <c r="G211" s="88">
        <v>1.7</v>
      </c>
      <c r="H211" s="34" t="s">
        <v>5</v>
      </c>
      <c r="I211" s="89">
        <f>IF(tblDetailHPP[[#This Row],[KODE KOMPONEN]]="","",IFERROR(INDEX(tbl_BahanBaku[HARGA PER SATUAN DASAR],MATCH(tblDetailHPP[[#This Row],[KODE KOMPONEN]],tbl_BahanBaku[KODE KOMPONEN],0)),""))</f>
        <v>100</v>
      </c>
      <c r="J211" s="89">
        <f>IF(tblDetailHPP[[#This Row],[KODE KOMPONEN]]="","",IF(tblDetailHPP[[#This Row],[STATUS HARGA]]="OK",ROUND(tblDetailHPP[[#This Row],[QTY PAKAI]]*tblDetailHPP[[#This Row],[HARGA PER SATUAN DASAR]],2),""))</f>
        <v>170</v>
      </c>
      <c r="K211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211" s="34">
        <f>IF(tblDetailHPP[[#This Row],[KODE PRODUK]]="",0,IFERROR(INDEX('PENJUALAN (QTY)'!$AH$3:$AH$500,MATCH(tblDetailHPP[[#This Row],[KODE PRODUK]],'PENJUALAN (QTY)'!$A$3:$A$500,0)),0))</f>
        <v>0</v>
      </c>
      <c r="M21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12" spans="1:13">
      <c r="A212" s="34" t="s">
        <v>191</v>
      </c>
      <c r="B212" s="34" t="str">
        <f>IFERROR(INDEX(tbl_Produk[NAMA PRODUK],MATCH(tblDetailHPP[[#This Row],[KODE PRODUK]],tbl_Produk[KODE PRODUK],0)),"")</f>
        <v>AYAM SAUS CREAMY CHEESE</v>
      </c>
      <c r="C212" s="34" t="s">
        <v>354</v>
      </c>
      <c r="D212" s="34" t="s">
        <v>130</v>
      </c>
      <c r="E21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1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60 ML</v>
      </c>
      <c r="G212" s="88">
        <v>1</v>
      </c>
      <c r="H212" s="34" t="s">
        <v>4</v>
      </c>
      <c r="I21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</v>
      </c>
      <c r="J212" s="89">
        <f>IF(tblDetailHPP[[#This Row],[KODE KOMPONEN]]="","",IF(tblDetailHPP[[#This Row],[STATUS HARGA]]="OK",ROUND(tblDetailHPP[[#This Row],[QTY PAKAI]]*tblDetailHPP[[#This Row],[HARGA PER SATUAN DASAR]],2),""))</f>
        <v>300</v>
      </c>
      <c r="K21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12" s="34">
        <f>IF(tblDetailHPP[[#This Row],[KODE PRODUK]]="",0,IFERROR(INDEX('PENJUALAN (QTY)'!$AH$3:$AH$500,MATCH(tblDetailHPP[[#This Row],[KODE PRODUK]],'PENJUALAN (QTY)'!$A$3:$A$500,0)),0))</f>
        <v>0</v>
      </c>
      <c r="M21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13" spans="1:13">
      <c r="A213" s="34" t="s">
        <v>191</v>
      </c>
      <c r="B213" s="34" t="str">
        <f>IFERROR(INDEX(tbl_Produk[NAMA PRODUK],MATCH(tblDetailHPP[[#This Row],[KODE PRODUK]],tbl_Produk[KODE PRODUK],0)),"")</f>
        <v>AYAM SAUS CREAMY CHEESE</v>
      </c>
      <c r="C213" s="34" t="s">
        <v>354</v>
      </c>
      <c r="D213" s="34" t="s">
        <v>139</v>
      </c>
      <c r="E21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1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KEJU CHEDDAR</v>
      </c>
      <c r="G213" s="88">
        <v>14.7</v>
      </c>
      <c r="H213" s="34" t="s">
        <v>5</v>
      </c>
      <c r="I21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52</v>
      </c>
      <c r="J213" s="89">
        <f>IF(tblDetailHPP[[#This Row],[KODE KOMPONEN]]="","",IF(tblDetailHPP[[#This Row],[STATUS HARGA]]="OK",ROUND(tblDetailHPP[[#This Row],[QTY PAKAI]]*tblDetailHPP[[#This Row],[HARGA PER SATUAN DASAR]],2),""))</f>
        <v>764.4</v>
      </c>
      <c r="K21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13" s="34">
        <f>IF(tblDetailHPP[[#This Row],[KODE PRODUK]]="",0,IFERROR(INDEX('PENJUALAN (QTY)'!$AH$3:$AH$500,MATCH(tblDetailHPP[[#This Row],[KODE PRODUK]],'PENJUALAN (QTY)'!$A$3:$A$500,0)),0))</f>
        <v>0</v>
      </c>
      <c r="M21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14" spans="1:13">
      <c r="A214" s="34" t="s">
        <v>191</v>
      </c>
      <c r="B214" s="34" t="str">
        <f>IFERROR(INDEX(tbl_Produk[NAMA PRODUK],MATCH(tblDetailHPP[[#This Row],[KODE PRODUK]],tbl_Produk[KODE PRODUK],0)),"")</f>
        <v>AYAM SAUS CREAMY CHEESE</v>
      </c>
      <c r="C214" s="34" t="s">
        <v>354</v>
      </c>
      <c r="D214" s="34" t="s">
        <v>142</v>
      </c>
      <c r="E21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1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214" s="88">
        <v>15</v>
      </c>
      <c r="H214" s="34" t="s">
        <v>222</v>
      </c>
      <c r="I21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214" s="89">
        <f>IF(tblDetailHPP[[#This Row],[KODE KOMPONEN]]="","",IF(tblDetailHPP[[#This Row],[STATUS HARGA]]="OK",ROUND(tblDetailHPP[[#This Row],[QTY PAKAI]]*tblDetailHPP[[#This Row],[HARGA PER SATUAN DASAR]],2),""))</f>
        <v>75</v>
      </c>
      <c r="K21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14" s="34">
        <f>IF(tblDetailHPP[[#This Row],[KODE PRODUK]]="",0,IFERROR(INDEX('PENJUALAN (QTY)'!$AH$3:$AH$500,MATCH(tblDetailHPP[[#This Row],[KODE PRODUK]],'PENJUALAN (QTY)'!$A$3:$A$500,0)),0))</f>
        <v>0</v>
      </c>
      <c r="M21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15" spans="1:13">
      <c r="A215" s="34" t="s">
        <v>191</v>
      </c>
      <c r="B215" s="34" t="str">
        <f>IFERROR(INDEX(tbl_Produk[NAMA PRODUK],MATCH(tblDetailHPP[[#This Row],[KODE PRODUK]],tbl_Produk[KODE PRODUK],0)),"")</f>
        <v>AYAM SAUS CREAMY CHEESE</v>
      </c>
      <c r="C215" s="34" t="s">
        <v>354</v>
      </c>
      <c r="D215" s="34" t="s">
        <v>143</v>
      </c>
      <c r="E21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1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215" s="88">
        <v>13</v>
      </c>
      <c r="H215" s="34" t="s">
        <v>5</v>
      </c>
      <c r="I21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215" s="89">
        <f>IF(tblDetailHPP[[#This Row],[KODE KOMPONEN]]="","",IF(tblDetailHPP[[#This Row],[STATUS HARGA]]="OK",ROUND(tblDetailHPP[[#This Row],[QTY PAKAI]]*tblDetailHPP[[#This Row],[HARGA PER SATUAN DASAR]],2),""))</f>
        <v>99.67</v>
      </c>
      <c r="K21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15" s="34">
        <f>IF(tblDetailHPP[[#This Row],[KODE PRODUK]]="",0,IFERROR(INDEX('PENJUALAN (QTY)'!$AH$3:$AH$500,MATCH(tblDetailHPP[[#This Row],[KODE PRODUK]],'PENJUALAN (QTY)'!$A$3:$A$500,0)),0))</f>
        <v>0</v>
      </c>
      <c r="M21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16" spans="1:13">
      <c r="A216" s="34" t="s">
        <v>191</v>
      </c>
      <c r="B216" s="34" t="str">
        <f>IFERROR(INDEX(tbl_Produk[NAMA PRODUK],MATCH(tblDetailHPP[[#This Row],[KODE PRODUK]],tbl_Produk[KODE PRODUK],0)),"")</f>
        <v>AYAM SAUS CREAMY CHEESE</v>
      </c>
      <c r="C216" s="34" t="s">
        <v>354</v>
      </c>
      <c r="D216" s="34" t="s">
        <v>146</v>
      </c>
      <c r="E21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1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LUNCHBOX S</v>
      </c>
      <c r="G216" s="88">
        <v>1</v>
      </c>
      <c r="H216" s="34" t="s">
        <v>4</v>
      </c>
      <c r="I21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450</v>
      </c>
      <c r="J216" s="89">
        <f>IF(tblDetailHPP[[#This Row],[KODE KOMPONEN]]="","",IF(tblDetailHPP[[#This Row],[STATUS HARGA]]="OK",ROUND(tblDetailHPP[[#This Row],[QTY PAKAI]]*tblDetailHPP[[#This Row],[HARGA PER SATUAN DASAR]],2),""))</f>
        <v>450</v>
      </c>
      <c r="K21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16" s="34">
        <f>IF(tblDetailHPP[[#This Row],[KODE PRODUK]]="",0,IFERROR(INDEX('PENJUALAN (QTY)'!$AH$3:$AH$500,MATCH(tblDetailHPP[[#This Row],[KODE PRODUK]],'PENJUALAN (QTY)'!$A$3:$A$500,0)),0))</f>
        <v>0</v>
      </c>
      <c r="M21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17" spans="1:13">
      <c r="A217" s="34" t="s">
        <v>191</v>
      </c>
      <c r="B217" s="34" t="str">
        <f>IFERROR(INDEX(tbl_Produk[NAMA PRODUK],MATCH(tblDetailHPP[[#This Row],[KODE PRODUK]],tbl_Produk[KODE PRODUK],0)),"")</f>
        <v>AYAM SAUS CREAMY CHEESE</v>
      </c>
      <c r="C217" s="34" t="s">
        <v>354</v>
      </c>
      <c r="D217" s="34" t="s">
        <v>150</v>
      </c>
      <c r="E21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1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217" s="88">
        <v>50</v>
      </c>
      <c r="H217" s="34" t="s">
        <v>6</v>
      </c>
      <c r="I21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217" s="89">
        <f>IF(tblDetailHPP[[#This Row],[KODE KOMPONEN]]="","",IF(tblDetailHPP[[#This Row],[STATUS HARGA]]="OK",ROUND(tblDetailHPP[[#This Row],[QTY PAKAI]]*tblDetailHPP[[#This Row],[HARGA PER SATUAN DASAR]],2),""))</f>
        <v>1150</v>
      </c>
      <c r="K21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17" s="34">
        <f>IF(tblDetailHPP[[#This Row],[KODE PRODUK]]="",0,IFERROR(INDEX('PENJUALAN (QTY)'!$AH$3:$AH$500,MATCH(tblDetailHPP[[#This Row],[KODE PRODUK]],'PENJUALAN (QTY)'!$A$3:$A$500,0)),0))</f>
        <v>0</v>
      </c>
      <c r="M21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18" spans="1:13">
      <c r="A218" s="34" t="s">
        <v>191</v>
      </c>
      <c r="B218" s="34" t="str">
        <f>IFERROR(INDEX(tbl_Produk[NAMA PRODUK],MATCH(tblDetailHPP[[#This Row],[KODE PRODUK]],tbl_Produk[KODE PRODUK],0)),"")</f>
        <v>AYAM SAUS CREAMY CHEESE</v>
      </c>
      <c r="C218" s="34" t="s">
        <v>354</v>
      </c>
      <c r="D218" s="34" t="s">
        <v>158</v>
      </c>
      <c r="E21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1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218" s="88">
        <v>1</v>
      </c>
      <c r="H218" s="34" t="s">
        <v>4</v>
      </c>
      <c r="I21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218" s="89">
        <f>IF(tblDetailHPP[[#This Row],[KODE KOMPONEN]]="","",IF(tblDetailHPP[[#This Row],[STATUS HARGA]]="OK",ROUND(tblDetailHPP[[#This Row],[QTY PAKAI]]*tblDetailHPP[[#This Row],[HARGA PER SATUAN DASAR]],2),""))</f>
        <v>280</v>
      </c>
      <c r="K21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18" s="34">
        <f>IF(tblDetailHPP[[#This Row],[KODE PRODUK]]="",0,IFERROR(INDEX('PENJUALAN (QTY)'!$AH$3:$AH$500,MATCH(tblDetailHPP[[#This Row],[KODE PRODUK]],'PENJUALAN (QTY)'!$A$3:$A$500,0)),0))</f>
        <v>0</v>
      </c>
      <c r="M21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19" spans="1:13">
      <c r="A219" s="34" t="s">
        <v>191</v>
      </c>
      <c r="B219" s="34" t="str">
        <f>IFERROR(INDEX(tbl_Produk[NAMA PRODUK],MATCH(tblDetailHPP[[#This Row],[KODE PRODUK]],tbl_Produk[KODE PRODUK],0)),"")</f>
        <v>AYAM SAUS CREAMY CHEESE</v>
      </c>
      <c r="C219" s="34" t="s">
        <v>354</v>
      </c>
      <c r="D219" s="34" t="s">
        <v>170</v>
      </c>
      <c r="E21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1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219" s="88">
        <v>1</v>
      </c>
      <c r="H219" s="34" t="s">
        <v>4</v>
      </c>
      <c r="I21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219" s="89">
        <f>IF(tblDetailHPP[[#This Row],[KODE KOMPONEN]]="","",IF(tblDetailHPP[[#This Row],[STATUS HARGA]]="OK",ROUND(tblDetailHPP[[#This Row],[QTY PAKAI]]*tblDetailHPP[[#This Row],[HARGA PER SATUAN DASAR]],2),""))</f>
        <v>129.87</v>
      </c>
      <c r="K21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19" s="34">
        <f>IF(tblDetailHPP[[#This Row],[KODE PRODUK]]="",0,IFERROR(INDEX('PENJUALAN (QTY)'!$AH$3:$AH$500,MATCH(tblDetailHPP[[#This Row],[KODE PRODUK]],'PENJUALAN (QTY)'!$A$3:$A$500,0)),0))</f>
        <v>0</v>
      </c>
      <c r="M21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20" spans="1:13">
      <c r="A220" s="34" t="s">
        <v>191</v>
      </c>
      <c r="B220" s="34" t="str">
        <f>IFERROR(INDEX(tbl_Produk[NAMA PRODUK],MATCH(tblDetailHPP[[#This Row],[KODE PRODUK]],tbl_Produk[KODE PRODUK],0)),"")</f>
        <v>AYAM SAUS CREAMY CHEESE</v>
      </c>
      <c r="C220" s="34" t="s">
        <v>354</v>
      </c>
      <c r="D220" s="34" t="s">
        <v>171</v>
      </c>
      <c r="E22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2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SUSU UHT</v>
      </c>
      <c r="G220" s="88">
        <v>28.6</v>
      </c>
      <c r="H220" s="34" t="s">
        <v>6</v>
      </c>
      <c r="I22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21</v>
      </c>
      <c r="J220" s="89">
        <f>IF(tblDetailHPP[[#This Row],[KODE KOMPONEN]]="","",IF(tblDetailHPP[[#This Row],[STATUS HARGA]]="OK",ROUND(tblDetailHPP[[#This Row],[QTY PAKAI]]*tblDetailHPP[[#This Row],[HARGA PER SATUAN DASAR]],2),""))</f>
        <v>600.6</v>
      </c>
      <c r="K22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20" s="34">
        <f>IF(tblDetailHPP[[#This Row],[KODE PRODUK]]="",0,IFERROR(INDEX('PENJUALAN (QTY)'!$AH$3:$AH$500,MATCH(tblDetailHPP[[#This Row],[KODE PRODUK]],'PENJUALAN (QTY)'!$A$3:$A$500,0)),0))</f>
        <v>0</v>
      </c>
      <c r="M22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21" spans="1:13">
      <c r="A221" s="34" t="s">
        <v>191</v>
      </c>
      <c r="B221" s="34" t="str">
        <f>IFERROR(INDEX(tbl_Produk[NAMA PRODUK],MATCH(tblDetailHPP[[#This Row],[KODE PRODUK]],tbl_Produk[KODE PRODUK],0)),"")</f>
        <v>AYAM SAUS CREAMY CHEESE</v>
      </c>
      <c r="C221" s="34" t="s">
        <v>354</v>
      </c>
      <c r="D221" s="34" t="s">
        <v>174</v>
      </c>
      <c r="E22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2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TEPUNG TERIGU</v>
      </c>
      <c r="G221" s="88">
        <v>125</v>
      </c>
      <c r="H221" s="34" t="s">
        <v>5</v>
      </c>
      <c r="I22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8</v>
      </c>
      <c r="J221" s="89">
        <f>IF(tblDetailHPP[[#This Row],[KODE KOMPONEN]]="","",IF(tblDetailHPP[[#This Row],[STATUS HARGA]]="OK",ROUND(tblDetailHPP[[#This Row],[QTY PAKAI]]*tblDetailHPP[[#This Row],[HARGA PER SATUAN DASAR]],2),""))</f>
        <v>1000</v>
      </c>
      <c r="K22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21" s="34">
        <f>IF(tblDetailHPP[[#This Row],[KODE PRODUK]]="",0,IFERROR(INDEX('PENJUALAN (QTY)'!$AH$3:$AH$500,MATCH(tblDetailHPP[[#This Row],[KODE PRODUK]],'PENJUALAN (QTY)'!$A$3:$A$500,0)),0))</f>
        <v>0</v>
      </c>
      <c r="M22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22" spans="1:13">
      <c r="A222" s="34" t="s">
        <v>191</v>
      </c>
      <c r="B222" s="34" t="str">
        <f>IFERROR(INDEX(tbl_Produk[NAMA PRODUK],MATCH(tblDetailHPP[[#This Row],[KODE PRODUK]],tbl_Produk[KODE PRODUK],0)),"")</f>
        <v>AYAM SAUS CREAMY CHEESE</v>
      </c>
      <c r="C222" s="34" t="s">
        <v>354</v>
      </c>
      <c r="D222" s="34" t="s">
        <v>178</v>
      </c>
      <c r="E22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2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KEJU POWDER</v>
      </c>
      <c r="G222" s="88">
        <v>5.9</v>
      </c>
      <c r="H222" s="34" t="s">
        <v>5</v>
      </c>
      <c r="I22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222" s="89">
        <f>IF(tblDetailHPP[[#This Row],[KODE KOMPONEN]]="","",IF(tblDetailHPP[[#This Row],[STATUS HARGA]]="OK",ROUND(tblDetailHPP[[#This Row],[QTY PAKAI]]*tblDetailHPP[[#This Row],[HARGA PER SATUAN DASAR]],2),""))</f>
        <v>354</v>
      </c>
      <c r="K22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22" s="34">
        <f>IF(tblDetailHPP[[#This Row],[KODE PRODUK]]="",0,IFERROR(INDEX('PENJUALAN (QTY)'!$AH$3:$AH$500,MATCH(tblDetailHPP[[#This Row],[KODE PRODUK]],'PENJUALAN (QTY)'!$A$3:$A$500,0)),0))</f>
        <v>0</v>
      </c>
      <c r="M22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23" spans="1:13">
      <c r="A223" s="34" t="s">
        <v>192</v>
      </c>
      <c r="B223" s="34" t="str">
        <f>IFERROR(INDEX(tbl_Produk[NAMA PRODUK],MATCH(tblDetailHPP[[#This Row],[KODE PRODUK]],tbl_Produk[KODE PRODUK],0)),"")</f>
        <v>AYAM SAUS CREAMY CHEESE + NASI</v>
      </c>
      <c r="C223" s="34" t="s">
        <v>354</v>
      </c>
      <c r="D223" s="34" t="s">
        <v>114</v>
      </c>
      <c r="E22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22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AYAM POTONG</v>
      </c>
      <c r="G223" s="88">
        <v>83.3</v>
      </c>
      <c r="H223" s="34" t="s">
        <v>5</v>
      </c>
      <c r="I22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26.5</v>
      </c>
      <c r="J223" s="89">
        <f>IF(tblDetailHPP[[#This Row],[KODE KOMPONEN]]="","",IF(tblDetailHPP[[#This Row],[STATUS HARGA]]="OK",ROUND(tblDetailHPP[[#This Row],[QTY PAKAI]]*tblDetailHPP[[#This Row],[HARGA PER SATUAN DASAR]],2),""))</f>
        <v>2207.4499999999998</v>
      </c>
      <c r="K22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23" s="34">
        <f>IF(tblDetailHPP[[#This Row],[KODE PRODUK]]="",0,IFERROR(INDEX('PENJUALAN (QTY)'!$AH$3:$AH$500,MATCH(tblDetailHPP[[#This Row],[KODE PRODUK]],'PENJUALAN (QTY)'!$A$3:$A$500,0)),0))</f>
        <v>0</v>
      </c>
      <c r="M22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24" spans="1:13">
      <c r="A224" s="34" t="s">
        <v>192</v>
      </c>
      <c r="B224" s="34" t="str">
        <f>IFERROR(INDEX(tbl_Produk[NAMA PRODUK],MATCH(tblDetailHPP[[#This Row],[KODE PRODUK]],tbl_Produk[KODE PRODUK],0)),"")</f>
        <v>AYAM SAUS CREAMY CHEESE + NASI</v>
      </c>
      <c r="C224" s="34" t="s">
        <v>354</v>
      </c>
      <c r="D224" s="34" t="s">
        <v>120</v>
      </c>
      <c r="E22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22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BERAS</v>
      </c>
      <c r="G224" s="88">
        <v>76.900000000000006</v>
      </c>
      <c r="H224" s="34" t="s">
        <v>5</v>
      </c>
      <c r="I22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14</v>
      </c>
      <c r="J224" s="89">
        <f>IF(tblDetailHPP[[#This Row],[KODE KOMPONEN]]="","",IF(tblDetailHPP[[#This Row],[STATUS HARGA]]="OK",ROUND(tblDetailHPP[[#This Row],[QTY PAKAI]]*tblDetailHPP[[#This Row],[HARGA PER SATUAN DASAR]],2),""))</f>
        <v>1076.5999999999999</v>
      </c>
      <c r="K22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24" s="34">
        <f>IF(tblDetailHPP[[#This Row],[KODE PRODUK]]="",0,IFERROR(INDEX('PENJUALAN (QTY)'!$AH$3:$AH$500,MATCH(tblDetailHPP[[#This Row],[KODE PRODUK]],'PENJUALAN (QTY)'!$A$3:$A$500,0)),0))</f>
        <v>0</v>
      </c>
      <c r="M22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25" spans="1:13">
      <c r="A225" s="34" t="s">
        <v>192</v>
      </c>
      <c r="B225" s="34" t="str">
        <f>IFERROR(INDEX(tbl_Produk[NAMA PRODUK],MATCH(tblDetailHPP[[#This Row],[KODE PRODUK]],tbl_Produk[KODE PRODUK],0)),"")</f>
        <v>AYAM SAUS CREAMY CHEESE + NASI</v>
      </c>
      <c r="C225" s="34" t="s">
        <v>354</v>
      </c>
      <c r="D225" s="34" t="s">
        <v>121</v>
      </c>
      <c r="E22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2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BUMBU MARINASI</v>
      </c>
      <c r="G225" s="88">
        <v>2.5</v>
      </c>
      <c r="H225" s="34" t="s">
        <v>5</v>
      </c>
      <c r="I22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71.666666666666671</v>
      </c>
      <c r="J225" s="89">
        <f>IF(tblDetailHPP[[#This Row],[KODE KOMPONEN]]="","",IF(tblDetailHPP[[#This Row],[STATUS HARGA]]="OK",ROUND(tblDetailHPP[[#This Row],[QTY PAKAI]]*tblDetailHPP[[#This Row],[HARGA PER SATUAN DASAR]],2),""))</f>
        <v>179.17</v>
      </c>
      <c r="K22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25" s="34">
        <f>IF(tblDetailHPP[[#This Row],[KODE PRODUK]]="",0,IFERROR(INDEX('PENJUALAN (QTY)'!$AH$3:$AH$500,MATCH(tblDetailHPP[[#This Row],[KODE PRODUK]],'PENJUALAN (QTY)'!$A$3:$A$500,0)),0))</f>
        <v>0</v>
      </c>
      <c r="M22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26" spans="1:13">
      <c r="A226" s="34" t="s">
        <v>192</v>
      </c>
      <c r="B226" s="34" t="str">
        <f>IFERROR(INDEX(tbl_Produk[NAMA PRODUK],MATCH(tblDetailHPP[[#This Row],[KODE PRODUK]],tbl_Produk[KODE PRODUK],0)),"")</f>
        <v>AYAM SAUS CREAMY CHEESE + NASI</v>
      </c>
      <c r="C226" s="34" t="s">
        <v>354</v>
      </c>
      <c r="D226" s="34" t="s">
        <v>123</v>
      </c>
      <c r="E22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2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KERING</v>
      </c>
      <c r="G226" s="88">
        <v>1.7</v>
      </c>
      <c r="H226" s="34" t="s">
        <v>5</v>
      </c>
      <c r="I22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226" s="89">
        <f>IF(tblDetailHPP[[#This Row],[KODE KOMPONEN]]="","",IF(tblDetailHPP[[#This Row],[STATUS HARGA]]="OK",ROUND(tblDetailHPP[[#This Row],[QTY PAKAI]]*tblDetailHPP[[#This Row],[HARGA PER SATUAN DASAR]],2),""))</f>
        <v>170</v>
      </c>
      <c r="K22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26" s="34">
        <f>IF(tblDetailHPP[[#This Row],[KODE PRODUK]]="",0,IFERROR(INDEX('PENJUALAN (QTY)'!$AH$3:$AH$500,MATCH(tblDetailHPP[[#This Row],[KODE PRODUK]],'PENJUALAN (QTY)'!$A$3:$A$500,0)),0))</f>
        <v>0</v>
      </c>
      <c r="M22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27" spans="1:13">
      <c r="A227" s="34" t="s">
        <v>192</v>
      </c>
      <c r="B227" s="34" t="str">
        <f>IFERROR(INDEX(tbl_Produk[NAMA PRODUK],MATCH(tblDetailHPP[[#This Row],[KODE PRODUK]],tbl_Produk[KODE PRODUK],0)),"")</f>
        <v>AYAM SAUS CREAMY CHEESE + NASI</v>
      </c>
      <c r="C227" s="34" t="s">
        <v>354</v>
      </c>
      <c r="D227" s="34" t="s">
        <v>130</v>
      </c>
      <c r="E22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2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60 ML</v>
      </c>
      <c r="G227" s="88">
        <v>1</v>
      </c>
      <c r="H227" s="34" t="s">
        <v>4</v>
      </c>
      <c r="I22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</v>
      </c>
      <c r="J227" s="89">
        <f>IF(tblDetailHPP[[#This Row],[KODE KOMPONEN]]="","",IF(tblDetailHPP[[#This Row],[STATUS HARGA]]="OK",ROUND(tblDetailHPP[[#This Row],[QTY PAKAI]]*tblDetailHPP[[#This Row],[HARGA PER SATUAN DASAR]],2),""))</f>
        <v>300</v>
      </c>
      <c r="K22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27" s="34">
        <f>IF(tblDetailHPP[[#This Row],[KODE PRODUK]]="",0,IFERROR(INDEX('PENJUALAN (QTY)'!$AH$3:$AH$500,MATCH(tblDetailHPP[[#This Row],[KODE PRODUK]],'PENJUALAN (QTY)'!$A$3:$A$500,0)),0))</f>
        <v>0</v>
      </c>
      <c r="M22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28" spans="1:13">
      <c r="A228" s="34" t="s">
        <v>192</v>
      </c>
      <c r="B228" s="34" t="str">
        <f>IFERROR(INDEX(tbl_Produk[NAMA PRODUK],MATCH(tblDetailHPP[[#This Row],[KODE PRODUK]],tbl_Produk[KODE PRODUK],0)),"")</f>
        <v>AYAM SAUS CREAMY CHEESE + NASI</v>
      </c>
      <c r="C228" s="34" t="s">
        <v>354</v>
      </c>
      <c r="D228" s="34" t="s">
        <v>139</v>
      </c>
      <c r="E22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2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KEJU CHEDDAR</v>
      </c>
      <c r="G228" s="88">
        <v>14.7</v>
      </c>
      <c r="H228" s="34" t="s">
        <v>5</v>
      </c>
      <c r="I22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52</v>
      </c>
      <c r="J228" s="89">
        <f>IF(tblDetailHPP[[#This Row],[KODE KOMPONEN]]="","",IF(tblDetailHPP[[#This Row],[STATUS HARGA]]="OK",ROUND(tblDetailHPP[[#This Row],[QTY PAKAI]]*tblDetailHPP[[#This Row],[HARGA PER SATUAN DASAR]],2),""))</f>
        <v>764.4</v>
      </c>
      <c r="K22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28" s="34">
        <f>IF(tblDetailHPP[[#This Row],[KODE PRODUK]]="",0,IFERROR(INDEX('PENJUALAN (QTY)'!$AH$3:$AH$500,MATCH(tblDetailHPP[[#This Row],[KODE PRODUK]],'PENJUALAN (QTY)'!$A$3:$A$500,0)),0))</f>
        <v>0</v>
      </c>
      <c r="M22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29" spans="1:13">
      <c r="A229" s="34" t="s">
        <v>192</v>
      </c>
      <c r="B229" s="34" t="str">
        <f>IFERROR(INDEX(tbl_Produk[NAMA PRODUK],MATCH(tblDetailHPP[[#This Row],[KODE PRODUK]],tbl_Produk[KODE PRODUK],0)),"")</f>
        <v>AYAM SAUS CREAMY CHEESE + NASI</v>
      </c>
      <c r="C229" s="34" t="s">
        <v>354</v>
      </c>
      <c r="D229" s="34" t="s">
        <v>142</v>
      </c>
      <c r="E22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2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229" s="88">
        <v>15</v>
      </c>
      <c r="H229" s="34" t="s">
        <v>222</v>
      </c>
      <c r="I22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229" s="89">
        <f>IF(tblDetailHPP[[#This Row],[KODE KOMPONEN]]="","",IF(tblDetailHPP[[#This Row],[STATUS HARGA]]="OK",ROUND(tblDetailHPP[[#This Row],[QTY PAKAI]]*tblDetailHPP[[#This Row],[HARGA PER SATUAN DASAR]],2),""))</f>
        <v>75</v>
      </c>
      <c r="K22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29" s="34">
        <f>IF(tblDetailHPP[[#This Row],[KODE PRODUK]]="",0,IFERROR(INDEX('PENJUALAN (QTY)'!$AH$3:$AH$500,MATCH(tblDetailHPP[[#This Row],[KODE PRODUK]],'PENJUALAN (QTY)'!$A$3:$A$500,0)),0))</f>
        <v>0</v>
      </c>
      <c r="M22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30" spans="1:13">
      <c r="A230" s="34" t="s">
        <v>192</v>
      </c>
      <c r="B230" s="34" t="str">
        <f>IFERROR(INDEX(tbl_Produk[NAMA PRODUK],MATCH(tblDetailHPP[[#This Row],[KODE PRODUK]],tbl_Produk[KODE PRODUK],0)),"")</f>
        <v>AYAM SAUS CREAMY CHEESE + NASI</v>
      </c>
      <c r="C230" s="34" t="s">
        <v>354</v>
      </c>
      <c r="D230" s="34" t="s">
        <v>143</v>
      </c>
      <c r="E23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3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230" s="88">
        <v>26</v>
      </c>
      <c r="H230" s="34" t="s">
        <v>5</v>
      </c>
      <c r="I23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230" s="89">
        <f>IF(tblDetailHPP[[#This Row],[KODE KOMPONEN]]="","",IF(tblDetailHPP[[#This Row],[STATUS HARGA]]="OK",ROUND(tblDetailHPP[[#This Row],[QTY PAKAI]]*tblDetailHPP[[#This Row],[HARGA PER SATUAN DASAR]],2),""))</f>
        <v>199.33</v>
      </c>
      <c r="K23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30" s="34">
        <f>IF(tblDetailHPP[[#This Row],[KODE PRODUK]]="",0,IFERROR(INDEX('PENJUALAN (QTY)'!$AH$3:$AH$500,MATCH(tblDetailHPP[[#This Row],[KODE PRODUK]],'PENJUALAN (QTY)'!$A$3:$A$500,0)),0))</f>
        <v>0</v>
      </c>
      <c r="M23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31" spans="1:13">
      <c r="A231" s="34" t="s">
        <v>192</v>
      </c>
      <c r="B231" s="34" t="str">
        <f>IFERROR(INDEX(tbl_Produk[NAMA PRODUK],MATCH(tblDetailHPP[[#This Row],[KODE PRODUK]],tbl_Produk[KODE PRODUK],0)),"")</f>
        <v>AYAM SAUS CREAMY CHEESE + NASI</v>
      </c>
      <c r="C231" s="34" t="s">
        <v>354</v>
      </c>
      <c r="D231" s="34" t="s">
        <v>145</v>
      </c>
      <c r="E23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3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LUNCHBOX M</v>
      </c>
      <c r="G231" s="88">
        <v>1</v>
      </c>
      <c r="H231" s="34" t="s">
        <v>4</v>
      </c>
      <c r="I23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550</v>
      </c>
      <c r="J231" s="89">
        <f>IF(tblDetailHPP[[#This Row],[KODE KOMPONEN]]="","",IF(tblDetailHPP[[#This Row],[STATUS HARGA]]="OK",ROUND(tblDetailHPP[[#This Row],[QTY PAKAI]]*tblDetailHPP[[#This Row],[HARGA PER SATUAN DASAR]],2),""))</f>
        <v>550</v>
      </c>
      <c r="K23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31" s="34">
        <f>IF(tblDetailHPP[[#This Row],[KODE PRODUK]]="",0,IFERROR(INDEX('PENJUALAN (QTY)'!$AH$3:$AH$500,MATCH(tblDetailHPP[[#This Row],[KODE PRODUK]],'PENJUALAN (QTY)'!$A$3:$A$500,0)),0))</f>
        <v>0</v>
      </c>
      <c r="M23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32" spans="1:13">
      <c r="A232" s="34" t="s">
        <v>192</v>
      </c>
      <c r="B232" s="34" t="str">
        <f>IFERROR(INDEX(tbl_Produk[NAMA PRODUK],MATCH(tblDetailHPP[[#This Row],[KODE PRODUK]],tbl_Produk[KODE PRODUK],0)),"")</f>
        <v>AYAM SAUS CREAMY CHEESE + NASI</v>
      </c>
      <c r="C232" s="34" t="s">
        <v>354</v>
      </c>
      <c r="D232" s="34" t="s">
        <v>150</v>
      </c>
      <c r="E23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3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232" s="88">
        <v>50</v>
      </c>
      <c r="H232" s="34" t="s">
        <v>6</v>
      </c>
      <c r="I23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232" s="89">
        <f>IF(tblDetailHPP[[#This Row],[KODE KOMPONEN]]="","",IF(tblDetailHPP[[#This Row],[STATUS HARGA]]="OK",ROUND(tblDetailHPP[[#This Row],[QTY PAKAI]]*tblDetailHPP[[#This Row],[HARGA PER SATUAN DASAR]],2),""))</f>
        <v>1150</v>
      </c>
      <c r="K23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32" s="34">
        <f>IF(tblDetailHPP[[#This Row],[KODE PRODUK]]="",0,IFERROR(INDEX('PENJUALAN (QTY)'!$AH$3:$AH$500,MATCH(tblDetailHPP[[#This Row],[KODE PRODUK]],'PENJUALAN (QTY)'!$A$3:$A$500,0)),0))</f>
        <v>0</v>
      </c>
      <c r="M23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33" spans="1:13">
      <c r="A233" s="34" t="s">
        <v>192</v>
      </c>
      <c r="B233" s="34" t="str">
        <f>IFERROR(INDEX(tbl_Produk[NAMA PRODUK],MATCH(tblDetailHPP[[#This Row],[KODE PRODUK]],tbl_Produk[KODE PRODUK],0)),"")</f>
        <v>AYAM SAUS CREAMY CHEESE + NASI</v>
      </c>
      <c r="C233" s="34" t="s">
        <v>354</v>
      </c>
      <c r="D233" s="34" t="s">
        <v>156</v>
      </c>
      <c r="E23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3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PAPER RICE</v>
      </c>
      <c r="G233" s="88">
        <v>1</v>
      </c>
      <c r="H233" s="34" t="s">
        <v>76</v>
      </c>
      <c r="I23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233" s="89">
        <f>IF(tblDetailHPP[[#This Row],[KODE KOMPONEN]]="","",IF(tblDetailHPP[[#This Row],[STATUS HARGA]]="OK",ROUND(tblDetailHPP[[#This Row],[QTY PAKAI]]*tblDetailHPP[[#This Row],[HARGA PER SATUAN DASAR]],2),""))</f>
        <v>100</v>
      </c>
      <c r="K23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33" s="34">
        <f>IF(tblDetailHPP[[#This Row],[KODE PRODUK]]="",0,IFERROR(INDEX('PENJUALAN (QTY)'!$AH$3:$AH$500,MATCH(tblDetailHPP[[#This Row],[KODE PRODUK]],'PENJUALAN (QTY)'!$A$3:$A$500,0)),0))</f>
        <v>0</v>
      </c>
      <c r="M23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34" spans="1:13">
      <c r="A234" s="34" t="s">
        <v>192</v>
      </c>
      <c r="B234" s="34" t="str">
        <f>IFERROR(INDEX(tbl_Produk[NAMA PRODUK],MATCH(tblDetailHPP[[#This Row],[KODE PRODUK]],tbl_Produk[KODE PRODUK],0)),"")</f>
        <v>AYAM SAUS CREAMY CHEESE + NASI</v>
      </c>
      <c r="C234" s="34" t="s">
        <v>354</v>
      </c>
      <c r="D234" s="34" t="s">
        <v>159</v>
      </c>
      <c r="E23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3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21</v>
      </c>
      <c r="G234" s="88">
        <v>1</v>
      </c>
      <c r="H234" s="34" t="s">
        <v>4</v>
      </c>
      <c r="I23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234" s="89">
        <f>IF(tblDetailHPP[[#This Row],[KODE KOMPONEN]]="","",IF(tblDetailHPP[[#This Row],[STATUS HARGA]]="OK",ROUND(tblDetailHPP[[#This Row],[QTY PAKAI]]*tblDetailHPP[[#This Row],[HARGA PER SATUAN DASAR]],2),""))</f>
        <v>280</v>
      </c>
      <c r="K23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34" s="34">
        <f>IF(tblDetailHPP[[#This Row],[KODE PRODUK]]="",0,IFERROR(INDEX('PENJUALAN (QTY)'!$AH$3:$AH$500,MATCH(tblDetailHPP[[#This Row],[KODE PRODUK]],'PENJUALAN (QTY)'!$A$3:$A$500,0)),0))</f>
        <v>0</v>
      </c>
      <c r="M23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35" spans="1:13">
      <c r="A235" s="34" t="s">
        <v>192</v>
      </c>
      <c r="B235" s="34" t="str">
        <f>IFERROR(INDEX(tbl_Produk[NAMA PRODUK],MATCH(tblDetailHPP[[#This Row],[KODE PRODUK]],tbl_Produk[KODE PRODUK],0)),"")</f>
        <v>AYAM SAUS CREAMY CHEESE + NASI</v>
      </c>
      <c r="C235" s="34" t="s">
        <v>354</v>
      </c>
      <c r="D235" s="34" t="s">
        <v>170</v>
      </c>
      <c r="E23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3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235" s="88">
        <v>1</v>
      </c>
      <c r="H235" s="34" t="s">
        <v>4</v>
      </c>
      <c r="I23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235" s="89">
        <f>IF(tblDetailHPP[[#This Row],[KODE KOMPONEN]]="","",IF(tblDetailHPP[[#This Row],[STATUS HARGA]]="OK",ROUND(tblDetailHPP[[#This Row],[QTY PAKAI]]*tblDetailHPP[[#This Row],[HARGA PER SATUAN DASAR]],2),""))</f>
        <v>129.87</v>
      </c>
      <c r="K23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35" s="34">
        <f>IF(tblDetailHPP[[#This Row],[KODE PRODUK]]="",0,IFERROR(INDEX('PENJUALAN (QTY)'!$AH$3:$AH$500,MATCH(tblDetailHPP[[#This Row],[KODE PRODUK]],'PENJUALAN (QTY)'!$A$3:$A$500,0)),0))</f>
        <v>0</v>
      </c>
      <c r="M23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36" spans="1:13">
      <c r="A236" s="34" t="s">
        <v>192</v>
      </c>
      <c r="B236" s="34" t="str">
        <f>IFERROR(INDEX(tbl_Produk[NAMA PRODUK],MATCH(tblDetailHPP[[#This Row],[KODE PRODUK]],tbl_Produk[KODE PRODUK],0)),"")</f>
        <v>AYAM SAUS CREAMY CHEESE + NASI</v>
      </c>
      <c r="C236" s="34" t="s">
        <v>354</v>
      </c>
      <c r="D236" s="34" t="s">
        <v>171</v>
      </c>
      <c r="E23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3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SUSU UHT</v>
      </c>
      <c r="G236" s="88">
        <v>28.6</v>
      </c>
      <c r="H236" s="34" t="s">
        <v>6</v>
      </c>
      <c r="I23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21</v>
      </c>
      <c r="J236" s="89">
        <f>IF(tblDetailHPP[[#This Row],[KODE KOMPONEN]]="","",IF(tblDetailHPP[[#This Row],[STATUS HARGA]]="OK",ROUND(tblDetailHPP[[#This Row],[QTY PAKAI]]*tblDetailHPP[[#This Row],[HARGA PER SATUAN DASAR]],2),""))</f>
        <v>600.6</v>
      </c>
      <c r="K23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36" s="34">
        <f>IF(tblDetailHPP[[#This Row],[KODE PRODUK]]="",0,IFERROR(INDEX('PENJUALAN (QTY)'!$AH$3:$AH$500,MATCH(tblDetailHPP[[#This Row],[KODE PRODUK]],'PENJUALAN (QTY)'!$A$3:$A$500,0)),0))</f>
        <v>0</v>
      </c>
      <c r="M23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37" spans="1:13">
      <c r="A237" s="34" t="s">
        <v>192</v>
      </c>
      <c r="B237" s="34" t="str">
        <f>IFERROR(INDEX(tbl_Produk[NAMA PRODUK],MATCH(tblDetailHPP[[#This Row],[KODE PRODUK]],tbl_Produk[KODE PRODUK],0)),"")</f>
        <v>AYAM SAUS CREAMY CHEESE + NASI</v>
      </c>
      <c r="C237" s="34" t="s">
        <v>354</v>
      </c>
      <c r="D237" s="34" t="s">
        <v>174</v>
      </c>
      <c r="E23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3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TEPUNG TERIGU</v>
      </c>
      <c r="G237" s="88">
        <v>125</v>
      </c>
      <c r="H237" s="34" t="s">
        <v>5</v>
      </c>
      <c r="I23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8</v>
      </c>
      <c r="J237" s="89">
        <f>IF(tblDetailHPP[[#This Row],[KODE KOMPONEN]]="","",IF(tblDetailHPP[[#This Row],[STATUS HARGA]]="OK",ROUND(tblDetailHPP[[#This Row],[QTY PAKAI]]*tblDetailHPP[[#This Row],[HARGA PER SATUAN DASAR]],2),""))</f>
        <v>1000</v>
      </c>
      <c r="K23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37" s="34">
        <f>IF(tblDetailHPP[[#This Row],[KODE PRODUK]]="",0,IFERROR(INDEX('PENJUALAN (QTY)'!$AH$3:$AH$500,MATCH(tblDetailHPP[[#This Row],[KODE PRODUK]],'PENJUALAN (QTY)'!$A$3:$A$500,0)),0))</f>
        <v>0</v>
      </c>
      <c r="M23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38" spans="1:13">
      <c r="A238" s="34" t="s">
        <v>192</v>
      </c>
      <c r="B238" s="34" t="str">
        <f>IFERROR(INDEX(tbl_Produk[NAMA PRODUK],MATCH(tblDetailHPP[[#This Row],[KODE PRODUK]],tbl_Produk[KODE PRODUK],0)),"")</f>
        <v>AYAM SAUS CREAMY CHEESE + NASI</v>
      </c>
      <c r="C238" s="34" t="s">
        <v>354</v>
      </c>
      <c r="D238" s="34" t="s">
        <v>178</v>
      </c>
      <c r="E23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3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KEJU POWDER</v>
      </c>
      <c r="G238" s="88">
        <v>5.9</v>
      </c>
      <c r="H238" s="34" t="s">
        <v>5</v>
      </c>
      <c r="I23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238" s="89">
        <f>IF(tblDetailHPP[[#This Row],[KODE KOMPONEN]]="","",IF(tblDetailHPP[[#This Row],[STATUS HARGA]]="OK",ROUND(tblDetailHPP[[#This Row],[QTY PAKAI]]*tblDetailHPP[[#This Row],[HARGA PER SATUAN DASAR]],2),""))</f>
        <v>354</v>
      </c>
      <c r="K23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38" s="34">
        <f>IF(tblDetailHPP[[#This Row],[KODE PRODUK]]="",0,IFERROR(INDEX('PENJUALAN (QTY)'!$AH$3:$AH$500,MATCH(tblDetailHPP[[#This Row],[KODE PRODUK]],'PENJUALAN (QTY)'!$A$3:$A$500,0)),0))</f>
        <v>0</v>
      </c>
      <c r="M23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39" spans="1:13">
      <c r="A239" s="34" t="s">
        <v>193</v>
      </c>
      <c r="B239" s="34" t="str">
        <f>IFERROR(INDEX(tbl_Produk[NAMA PRODUK],MATCH(tblDetailHPP[[#This Row],[KODE PRODUK]],tbl_Produk[KODE PRODUK],0)),"")</f>
        <v>ES LEMON TEA</v>
      </c>
      <c r="C239" s="34" t="s">
        <v>354</v>
      </c>
      <c r="D239" s="34" t="s">
        <v>128</v>
      </c>
      <c r="E23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3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18 OZ OVAL</v>
      </c>
      <c r="G239" s="88">
        <v>1</v>
      </c>
      <c r="H239" s="34" t="s">
        <v>4</v>
      </c>
      <c r="I23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440</v>
      </c>
      <c r="J239" s="89">
        <f>IF(tblDetailHPP[[#This Row],[KODE KOMPONEN]]="","",IF(tblDetailHPP[[#This Row],[STATUS HARGA]]="OK",ROUND(tblDetailHPP[[#This Row],[QTY PAKAI]]*tblDetailHPP[[#This Row],[HARGA PER SATUAN DASAR]],2),""))</f>
        <v>440</v>
      </c>
      <c r="K23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39" s="34">
        <f>IF(tblDetailHPP[[#This Row],[KODE PRODUK]]="",0,IFERROR(INDEX('PENJUALAN (QTY)'!$AH$3:$AH$500,MATCH(tblDetailHPP[[#This Row],[KODE PRODUK]],'PENJUALAN (QTY)'!$A$3:$A$500,0)),0))</f>
        <v>0</v>
      </c>
      <c r="M23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40" spans="1:13">
      <c r="A240" s="34" t="s">
        <v>193</v>
      </c>
      <c r="B240" s="34" t="str">
        <f>IFERROR(INDEX(tbl_Produk[NAMA PRODUK],MATCH(tblDetailHPP[[#This Row],[KODE PRODUK]],tbl_Produk[KODE PRODUK],0)),"")</f>
        <v>ES LEMON TEA</v>
      </c>
      <c r="C240" s="34" t="s">
        <v>354</v>
      </c>
      <c r="D240" s="34" t="s">
        <v>131</v>
      </c>
      <c r="E24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4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ES KRISTAL</v>
      </c>
      <c r="G240" s="88">
        <v>200</v>
      </c>
      <c r="H240" s="34" t="s">
        <v>5</v>
      </c>
      <c r="I24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1.1000000000000001</v>
      </c>
      <c r="J240" s="89">
        <f>IF(tblDetailHPP[[#This Row],[KODE KOMPONEN]]="","",IF(tblDetailHPP[[#This Row],[STATUS HARGA]]="OK",ROUND(tblDetailHPP[[#This Row],[QTY PAKAI]]*tblDetailHPP[[#This Row],[HARGA PER SATUAN DASAR]],2),""))</f>
        <v>220</v>
      </c>
      <c r="K24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40" s="34">
        <f>IF(tblDetailHPP[[#This Row],[KODE PRODUK]]="",0,IFERROR(INDEX('PENJUALAN (QTY)'!$AH$3:$AH$500,MATCH(tblDetailHPP[[#This Row],[KODE PRODUK]],'PENJUALAN (QTY)'!$A$3:$A$500,0)),0))</f>
        <v>0</v>
      </c>
      <c r="M24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41" spans="1:13">
      <c r="A241" s="34" t="s">
        <v>193</v>
      </c>
      <c r="B241" s="34" t="str">
        <f>IFERROR(INDEX(tbl_Produk[NAMA PRODUK],MATCH(tblDetailHPP[[#This Row],[KODE PRODUK]],tbl_Produk[KODE PRODUK],0)),"")</f>
        <v>ES LEMON TEA</v>
      </c>
      <c r="C241" s="34" t="s">
        <v>354</v>
      </c>
      <c r="D241" s="34" t="s">
        <v>142</v>
      </c>
      <c r="E241" s="34" t="str">
        <f>IF(tblDetailHPP[[#This Row],[KODE KOMPONEN]]="","",IFERROR(INDEX(tbl_BahanBaku[KATEGORI HPP],MATCH(tblDetailHPP[[#This Row],[KODE KOMPONEN]],tbl_BahanBaku[KODE KOMPONEN],0)),""))</f>
        <v>OVERHEAD / OPERASIONAL</v>
      </c>
      <c r="F241" s="34" t="str">
        <f>IF(tblDetailHPP[[#This Row],[KODE KOMPONEN]]="","",IFERROR(INDEX(tbl_BahanBaku[NAMA KOMPONEN],MATCH(tblDetailHPP[[#This Row],[KODE KOMPONEN]],tbl_BahanBaku[KODE KOMPONEN],0)),""))</f>
        <v>KERTAS PRINTER</v>
      </c>
      <c r="G241" s="88">
        <v>15</v>
      </c>
      <c r="H241" s="34" t="s">
        <v>222</v>
      </c>
      <c r="I241" s="89">
        <f>IF(tblDetailHPP[[#This Row],[KODE KOMPONEN]]="","",IFERROR(INDEX(tbl_BahanBaku[HARGA PER SATUAN DASAR],MATCH(tblDetailHPP[[#This Row],[KODE KOMPONEN]],tbl_BahanBaku[KODE KOMPONEN],0)),""))</f>
        <v>5</v>
      </c>
      <c r="J241" s="89">
        <f>IF(tblDetailHPP[[#This Row],[KODE KOMPONEN]]="","",IF(tblDetailHPP[[#This Row],[STATUS HARGA]]="OK",ROUND(tblDetailHPP[[#This Row],[QTY PAKAI]]*tblDetailHPP[[#This Row],[HARGA PER SATUAN DASAR]],2),""))</f>
        <v>75</v>
      </c>
      <c r="K241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241" s="34">
        <f>IF(tblDetailHPP[[#This Row],[KODE PRODUK]]="",0,IFERROR(INDEX('PENJUALAN (QTY)'!$AH$3:$AH$500,MATCH(tblDetailHPP[[#This Row],[KODE PRODUK]],'PENJUALAN (QTY)'!$A$3:$A$500,0)),0))</f>
        <v>0</v>
      </c>
      <c r="M24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42" spans="1:13">
      <c r="A242" s="34" t="s">
        <v>193</v>
      </c>
      <c r="B242" s="34" t="str">
        <f>IFERROR(INDEX(tbl_Produk[NAMA PRODUK],MATCH(tblDetailHPP[[#This Row],[KODE PRODUK]],tbl_Produk[KODE PRODUK],0)),"")</f>
        <v>ES LEMON TEA</v>
      </c>
      <c r="C242" s="34" t="s">
        <v>354</v>
      </c>
      <c r="D242" s="34" t="s">
        <v>147</v>
      </c>
      <c r="E24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4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MAXTEA LEMON</v>
      </c>
      <c r="G242" s="88">
        <v>1</v>
      </c>
      <c r="H242" s="34" t="s">
        <v>4</v>
      </c>
      <c r="I24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1500</v>
      </c>
      <c r="J242" s="89">
        <f>IF(tblDetailHPP[[#This Row],[KODE KOMPONEN]]="","",IF(tblDetailHPP[[#This Row],[STATUS HARGA]]="OK",ROUND(tblDetailHPP[[#This Row],[QTY PAKAI]]*tblDetailHPP[[#This Row],[HARGA PER SATUAN DASAR]],2),""))</f>
        <v>1500</v>
      </c>
      <c r="K24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42" s="34">
        <f>IF(tblDetailHPP[[#This Row],[KODE PRODUK]]="",0,IFERROR(INDEX('PENJUALAN (QTY)'!$AH$3:$AH$500,MATCH(tblDetailHPP[[#This Row],[KODE PRODUK]],'PENJUALAN (QTY)'!$A$3:$A$500,0)),0))</f>
        <v>0</v>
      </c>
      <c r="M24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43" spans="1:13">
      <c r="A243" s="34" t="s">
        <v>193</v>
      </c>
      <c r="B243" s="34" t="str">
        <f>IFERROR(INDEX(tbl_Produk[NAMA PRODUK],MATCH(tblDetailHPP[[#This Row],[KODE PRODUK]],tbl_Produk[KODE PRODUK],0)),"")</f>
        <v>ES LEMON TEA</v>
      </c>
      <c r="C243" s="34" t="s">
        <v>354</v>
      </c>
      <c r="D243" s="34" t="s">
        <v>157</v>
      </c>
      <c r="E24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4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SEALER CUP</v>
      </c>
      <c r="G243" s="88">
        <v>1</v>
      </c>
      <c r="H243" s="34" t="s">
        <v>4</v>
      </c>
      <c r="I24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120</v>
      </c>
      <c r="J243" s="89">
        <f>IF(tblDetailHPP[[#This Row],[KODE KOMPONEN]]="","",IF(tblDetailHPP[[#This Row],[STATUS HARGA]]="OK",ROUND(tblDetailHPP[[#This Row],[QTY PAKAI]]*tblDetailHPP[[#This Row],[HARGA PER SATUAN DASAR]],2),""))</f>
        <v>120</v>
      </c>
      <c r="K24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43" s="34">
        <f>IF(tblDetailHPP[[#This Row],[KODE PRODUK]]="",0,IFERROR(INDEX('PENJUALAN (QTY)'!$AH$3:$AH$500,MATCH(tblDetailHPP[[#This Row],[KODE PRODUK]],'PENJUALAN (QTY)'!$A$3:$A$500,0)),0))</f>
        <v>0</v>
      </c>
      <c r="M24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44" spans="1:13">
      <c r="A244" s="34" t="s">
        <v>193</v>
      </c>
      <c r="B244" s="34" t="str">
        <f>IFERROR(INDEX(tbl_Produk[NAMA PRODUK],MATCH(tblDetailHPP[[#This Row],[KODE PRODUK]],tbl_Produk[KODE PRODUK],0)),"")</f>
        <v>ES LEMON TEA</v>
      </c>
      <c r="C244" s="34" t="s">
        <v>354</v>
      </c>
      <c r="D244" s="34" t="s">
        <v>158</v>
      </c>
      <c r="E24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4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244" s="88">
        <v>1</v>
      </c>
      <c r="H244" s="34" t="s">
        <v>4</v>
      </c>
      <c r="I24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244" s="89">
        <f>IF(tblDetailHPP[[#This Row],[KODE KOMPONEN]]="","",IF(tblDetailHPP[[#This Row],[STATUS HARGA]]="OK",ROUND(tblDetailHPP[[#This Row],[QTY PAKAI]]*tblDetailHPP[[#This Row],[HARGA PER SATUAN DASAR]],2),""))</f>
        <v>280</v>
      </c>
      <c r="K24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44" s="34">
        <f>IF(tblDetailHPP[[#This Row],[KODE PRODUK]]="",0,IFERROR(INDEX('PENJUALAN (QTY)'!$AH$3:$AH$500,MATCH(tblDetailHPP[[#This Row],[KODE PRODUK]],'PENJUALAN (QTY)'!$A$3:$A$500,0)),0))</f>
        <v>0</v>
      </c>
      <c r="M24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45" spans="1:13">
      <c r="A245" s="34" t="s">
        <v>193</v>
      </c>
      <c r="B245" s="34" t="str">
        <f>IFERROR(INDEX(tbl_Produk[NAMA PRODUK],MATCH(tblDetailHPP[[#This Row],[KODE PRODUK]],tbl_Produk[KODE PRODUK],0)),"")</f>
        <v>ES LEMON TEA</v>
      </c>
      <c r="C245" s="34" t="s">
        <v>354</v>
      </c>
      <c r="D245" s="34" t="s">
        <v>169</v>
      </c>
      <c r="E24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4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SEDOTAN</v>
      </c>
      <c r="G245" s="88">
        <v>1</v>
      </c>
      <c r="H245" s="34" t="s">
        <v>4</v>
      </c>
      <c r="I24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36</v>
      </c>
      <c r="J245" s="89">
        <f>IF(tblDetailHPP[[#This Row],[KODE KOMPONEN]]="","",IF(tblDetailHPP[[#This Row],[STATUS HARGA]]="OK",ROUND(tblDetailHPP[[#This Row],[QTY PAKAI]]*tblDetailHPP[[#This Row],[HARGA PER SATUAN DASAR]],2),""))</f>
        <v>36</v>
      </c>
      <c r="K24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45" s="34">
        <f>IF(tblDetailHPP[[#This Row],[KODE PRODUK]]="",0,IFERROR(INDEX('PENJUALAN (QTY)'!$AH$3:$AH$500,MATCH(tblDetailHPP[[#This Row],[KODE PRODUK]],'PENJUALAN (QTY)'!$A$3:$A$500,0)),0))</f>
        <v>0</v>
      </c>
      <c r="M24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46" spans="1:13">
      <c r="A246" s="34" t="s">
        <v>193</v>
      </c>
      <c r="B246" s="34" t="str">
        <f>IFERROR(INDEX(tbl_Produk[NAMA PRODUK],MATCH(tblDetailHPP[[#This Row],[KODE PRODUK]],tbl_Produk[KODE PRODUK],0)),"")</f>
        <v>ES LEMON TEA</v>
      </c>
      <c r="C246" s="34" t="s">
        <v>354</v>
      </c>
      <c r="D246" s="34" t="s">
        <v>170</v>
      </c>
      <c r="E246" s="34" t="str">
        <f>IF(tblDetailHPP[[#This Row],[KODE KOMPONEN]]="","",IFERROR(INDEX(tbl_BahanBaku[KATEGORI HPP],MATCH(tblDetailHPP[[#This Row],[KODE KOMPONEN]],tbl_BahanBaku[KODE KOMPONEN],0)),""))</f>
        <v>OVERHEAD / OPERASIONAL</v>
      </c>
      <c r="F246" s="34" t="str">
        <f>IF(tblDetailHPP[[#This Row],[KODE KOMPONEN]]="","",IFERROR(INDEX(tbl_BahanBaku[NAMA KOMPONEN],MATCH(tblDetailHPP[[#This Row],[KODE KOMPONEN]],tbl_BahanBaku[KODE KOMPONEN],0)),""))</f>
        <v>STICKER BRANDING</v>
      </c>
      <c r="G246" s="88">
        <v>1</v>
      </c>
      <c r="H246" s="34" t="s">
        <v>4</v>
      </c>
      <c r="I246" s="89">
        <f>IF(tblDetailHPP[[#This Row],[KODE KOMPONEN]]="","",IFERROR(INDEX(tbl_BahanBaku[HARGA PER SATUAN DASAR],MATCH(tblDetailHPP[[#This Row],[KODE KOMPONEN]],tbl_BahanBaku[KODE KOMPONEN],0)),""))</f>
        <v>129.87012987012986</v>
      </c>
      <c r="J246" s="89">
        <f>IF(tblDetailHPP[[#This Row],[KODE KOMPONEN]]="","",IF(tblDetailHPP[[#This Row],[STATUS HARGA]]="OK",ROUND(tblDetailHPP[[#This Row],[QTY PAKAI]]*tblDetailHPP[[#This Row],[HARGA PER SATUAN DASAR]],2),""))</f>
        <v>129.87</v>
      </c>
      <c r="K246" s="34" t="str">
        <f>IF(tblDetailHPP[[#This Row],[KODE KOMPONEN]]="","",IF(OR(NOT(ISNUMBER(tblDetailHPP[[#This Row],[QTY PAKAI]])),tblDetailHPP[[#This Row],[QTY PAKAI]]&lt;=0,tblDetailHPP[[#This Row],[SATUAN PAKAI]]=""),"PERIKSA QTY/SATUAN",IF(COUNTIF(tbl_BahanBaku[KODE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SATUAN","OK")))))</f>
        <v>OK</v>
      </c>
      <c r="L246" s="34">
        <f>IF(tblDetailHPP[[#This Row],[KODE PRODUK]]="",0,IFERROR(INDEX('PENJUALAN (QTY)'!$AH$3:$AH$500,MATCH(tblDetailHPP[[#This Row],[KODE PRODUK]],'PENJUALAN (QTY)'!$A$3:$A$500,0)),0))</f>
        <v>0</v>
      </c>
      <c r="M24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47" spans="1:13">
      <c r="A247" s="34" t="s">
        <v>194</v>
      </c>
      <c r="B247" s="34" t="str">
        <f>IFERROR(INDEX(tbl_Produk[NAMA PRODUK],MATCH(tblDetailHPP[[#This Row],[KODE PRODUK]],tbl_Produk[KODE PRODUK],0)),"")</f>
        <v>ES MILO</v>
      </c>
      <c r="C247" s="34" t="s">
        <v>354</v>
      </c>
      <c r="D247" s="34" t="s">
        <v>128</v>
      </c>
      <c r="E24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4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18 OZ OVAL</v>
      </c>
      <c r="G247" s="88">
        <v>1</v>
      </c>
      <c r="H247" s="34" t="s">
        <v>4</v>
      </c>
      <c r="I24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440</v>
      </c>
      <c r="J247" s="89">
        <f>IF(tblDetailHPP[[#This Row],[KODE KOMPONEN]]="","",IF(tblDetailHPP[[#This Row],[STATUS HARGA]]="OK",ROUND(tblDetailHPP[[#This Row],[QTY PAKAI]]*tblDetailHPP[[#This Row],[HARGA PER SATUAN DASAR]],2),""))</f>
        <v>440</v>
      </c>
      <c r="K24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47" s="34">
        <f>IF(tblDetailHPP[[#This Row],[KODE PRODUK]]="",0,IFERROR(INDEX('PENJUALAN (QTY)'!$AH$3:$AH$500,MATCH(tblDetailHPP[[#This Row],[KODE PRODUK]],'PENJUALAN (QTY)'!$A$3:$A$500,0)),0))</f>
        <v>0</v>
      </c>
      <c r="M24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48" spans="1:13">
      <c r="A248" s="34" t="s">
        <v>194</v>
      </c>
      <c r="B248" s="34" t="str">
        <f>IFERROR(INDEX(tbl_Produk[NAMA PRODUK],MATCH(tblDetailHPP[[#This Row],[KODE PRODUK]],tbl_Produk[KODE PRODUK],0)),"")</f>
        <v>ES MILO</v>
      </c>
      <c r="C248" s="34" t="s">
        <v>354</v>
      </c>
      <c r="D248" s="34" t="s">
        <v>131</v>
      </c>
      <c r="E24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4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ES KRISTAL</v>
      </c>
      <c r="G248" s="88">
        <v>200</v>
      </c>
      <c r="H248" s="34" t="s">
        <v>5</v>
      </c>
      <c r="I24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1.1000000000000001</v>
      </c>
      <c r="J248" s="89">
        <f>IF(tblDetailHPP[[#This Row],[KODE KOMPONEN]]="","",IF(tblDetailHPP[[#This Row],[STATUS HARGA]]="OK",ROUND(tblDetailHPP[[#This Row],[QTY PAKAI]]*tblDetailHPP[[#This Row],[HARGA PER SATUAN DASAR]],2),""))</f>
        <v>220</v>
      </c>
      <c r="K24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48" s="34">
        <f>IF(tblDetailHPP[[#This Row],[KODE PRODUK]]="",0,IFERROR(INDEX('PENJUALAN (QTY)'!$AH$3:$AH$500,MATCH(tblDetailHPP[[#This Row],[KODE PRODUK]],'PENJUALAN (QTY)'!$A$3:$A$500,0)),0))</f>
        <v>0</v>
      </c>
      <c r="M24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49" spans="1:13">
      <c r="A249" s="34" t="s">
        <v>194</v>
      </c>
      <c r="B249" s="34" t="str">
        <f>IFERROR(INDEX(tbl_Produk[NAMA PRODUK],MATCH(tblDetailHPP[[#This Row],[KODE PRODUK]],tbl_Produk[KODE PRODUK],0)),"")</f>
        <v>ES MILO</v>
      </c>
      <c r="C249" s="34" t="s">
        <v>354</v>
      </c>
      <c r="D249" s="34" t="s">
        <v>136</v>
      </c>
      <c r="E24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4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GULA PASIR</v>
      </c>
      <c r="G249" s="88">
        <v>33</v>
      </c>
      <c r="H249" s="34" t="s">
        <v>5</v>
      </c>
      <c r="I24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18</v>
      </c>
      <c r="J249" s="89">
        <f>IF(tblDetailHPP[[#This Row],[KODE KOMPONEN]]="","",IF(tblDetailHPP[[#This Row],[STATUS HARGA]]="OK",ROUND(tblDetailHPP[[#This Row],[QTY PAKAI]]*tblDetailHPP[[#This Row],[HARGA PER SATUAN DASAR]],2),""))</f>
        <v>594</v>
      </c>
      <c r="K24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49" s="34">
        <f>IF(tblDetailHPP[[#This Row],[KODE PRODUK]]="",0,IFERROR(INDEX('PENJUALAN (QTY)'!$AH$3:$AH$500,MATCH(tblDetailHPP[[#This Row],[KODE PRODUK]],'PENJUALAN (QTY)'!$A$3:$A$500,0)),0))</f>
        <v>0</v>
      </c>
      <c r="M24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50" spans="1:13">
      <c r="A250" s="34" t="s">
        <v>194</v>
      </c>
      <c r="B250" s="34" t="str">
        <f>IFERROR(INDEX(tbl_Produk[NAMA PRODUK],MATCH(tblDetailHPP[[#This Row],[KODE PRODUK]],tbl_Produk[KODE PRODUK],0)),"")</f>
        <v>ES MILO</v>
      </c>
      <c r="C250" s="34" t="s">
        <v>354</v>
      </c>
      <c r="D250" s="34" t="s">
        <v>142</v>
      </c>
      <c r="E25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5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250" s="88">
        <v>15</v>
      </c>
      <c r="H250" s="34" t="s">
        <v>222</v>
      </c>
      <c r="I25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250" s="89">
        <f>IF(tblDetailHPP[[#This Row],[KODE KOMPONEN]]="","",IF(tblDetailHPP[[#This Row],[STATUS HARGA]]="OK",ROUND(tblDetailHPP[[#This Row],[QTY PAKAI]]*tblDetailHPP[[#This Row],[HARGA PER SATUAN DASAR]],2),""))</f>
        <v>75</v>
      </c>
      <c r="K25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50" s="34">
        <f>IF(tblDetailHPP[[#This Row],[KODE PRODUK]]="",0,IFERROR(INDEX('PENJUALAN (QTY)'!$AH$3:$AH$500,MATCH(tblDetailHPP[[#This Row],[KODE PRODUK]],'PENJUALAN (QTY)'!$A$3:$A$500,0)),0))</f>
        <v>0</v>
      </c>
      <c r="M25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51" spans="1:13">
      <c r="A251" s="34" t="s">
        <v>194</v>
      </c>
      <c r="B251" s="34" t="str">
        <f>IFERROR(INDEX(tbl_Produk[NAMA PRODUK],MATCH(tblDetailHPP[[#This Row],[KODE PRODUK]],tbl_Produk[KODE PRODUK],0)),"")</f>
        <v>ES MILO</v>
      </c>
      <c r="C251" s="34" t="s">
        <v>354</v>
      </c>
      <c r="D251" s="34" t="s">
        <v>149</v>
      </c>
      <c r="E25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5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MILO</v>
      </c>
      <c r="G251" s="88">
        <v>25</v>
      </c>
      <c r="H251" s="34" t="s">
        <v>5</v>
      </c>
      <c r="I25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114.58333333333333</v>
      </c>
      <c r="J251" s="89">
        <f>IF(tblDetailHPP[[#This Row],[KODE KOMPONEN]]="","",IF(tblDetailHPP[[#This Row],[STATUS HARGA]]="OK",ROUND(tblDetailHPP[[#This Row],[QTY PAKAI]]*tblDetailHPP[[#This Row],[HARGA PER SATUAN DASAR]],2),""))</f>
        <v>2864.58</v>
      </c>
      <c r="K25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51" s="34">
        <f>IF(tblDetailHPP[[#This Row],[KODE PRODUK]]="",0,IFERROR(INDEX('PENJUALAN (QTY)'!$AH$3:$AH$500,MATCH(tblDetailHPP[[#This Row],[KODE PRODUK]],'PENJUALAN (QTY)'!$A$3:$A$500,0)),0))</f>
        <v>0</v>
      </c>
      <c r="M25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52" spans="1:13">
      <c r="A252" s="34" t="s">
        <v>194</v>
      </c>
      <c r="B252" s="34" t="str">
        <f>IFERROR(INDEX(tbl_Produk[NAMA PRODUK],MATCH(tblDetailHPP[[#This Row],[KODE PRODUK]],tbl_Produk[KODE PRODUK],0)),"")</f>
        <v>ES MILO</v>
      </c>
      <c r="C252" s="34" t="s">
        <v>354</v>
      </c>
      <c r="D252" s="34" t="s">
        <v>157</v>
      </c>
      <c r="E25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5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SEALER CUP</v>
      </c>
      <c r="G252" s="88">
        <v>1</v>
      </c>
      <c r="H252" s="34" t="s">
        <v>4</v>
      </c>
      <c r="I25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120</v>
      </c>
      <c r="J252" s="89">
        <f>IF(tblDetailHPP[[#This Row],[KODE KOMPONEN]]="","",IF(tblDetailHPP[[#This Row],[STATUS HARGA]]="OK",ROUND(tblDetailHPP[[#This Row],[QTY PAKAI]]*tblDetailHPP[[#This Row],[HARGA PER SATUAN DASAR]],2),""))</f>
        <v>120</v>
      </c>
      <c r="K25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52" s="34">
        <f>IF(tblDetailHPP[[#This Row],[KODE PRODUK]]="",0,IFERROR(INDEX('PENJUALAN (QTY)'!$AH$3:$AH$500,MATCH(tblDetailHPP[[#This Row],[KODE PRODUK]],'PENJUALAN (QTY)'!$A$3:$A$500,0)),0))</f>
        <v>0</v>
      </c>
      <c r="M25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53" spans="1:13">
      <c r="A253" s="34" t="s">
        <v>194</v>
      </c>
      <c r="B253" s="34" t="str">
        <f>IFERROR(INDEX(tbl_Produk[NAMA PRODUK],MATCH(tblDetailHPP[[#This Row],[KODE PRODUK]],tbl_Produk[KODE PRODUK],0)),"")</f>
        <v>ES MILO</v>
      </c>
      <c r="C253" s="34" t="s">
        <v>354</v>
      </c>
      <c r="D253" s="34" t="s">
        <v>158</v>
      </c>
      <c r="E25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5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253" s="88">
        <v>1</v>
      </c>
      <c r="H253" s="34" t="s">
        <v>4</v>
      </c>
      <c r="I25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253" s="89">
        <f>IF(tblDetailHPP[[#This Row],[KODE KOMPONEN]]="","",IF(tblDetailHPP[[#This Row],[STATUS HARGA]]="OK",ROUND(tblDetailHPP[[#This Row],[QTY PAKAI]]*tblDetailHPP[[#This Row],[HARGA PER SATUAN DASAR]],2),""))</f>
        <v>280</v>
      </c>
      <c r="K25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53" s="34">
        <f>IF(tblDetailHPP[[#This Row],[KODE PRODUK]]="",0,IFERROR(INDEX('PENJUALAN (QTY)'!$AH$3:$AH$500,MATCH(tblDetailHPP[[#This Row],[KODE PRODUK]],'PENJUALAN (QTY)'!$A$3:$A$500,0)),0))</f>
        <v>0</v>
      </c>
      <c r="M25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54" spans="1:13">
      <c r="A254" s="34" t="s">
        <v>194</v>
      </c>
      <c r="B254" s="34" t="str">
        <f>IFERROR(INDEX(tbl_Produk[NAMA PRODUK],MATCH(tblDetailHPP[[#This Row],[KODE PRODUK]],tbl_Produk[KODE PRODUK],0)),"")</f>
        <v>ES MILO</v>
      </c>
      <c r="C254" s="34" t="s">
        <v>354</v>
      </c>
      <c r="D254" s="34" t="s">
        <v>169</v>
      </c>
      <c r="E25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5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SEDOTAN</v>
      </c>
      <c r="G254" s="88">
        <v>1</v>
      </c>
      <c r="H254" s="34" t="s">
        <v>4</v>
      </c>
      <c r="I25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36</v>
      </c>
      <c r="J254" s="89">
        <f>IF(tblDetailHPP[[#This Row],[KODE KOMPONEN]]="","",IF(tblDetailHPP[[#This Row],[STATUS HARGA]]="OK",ROUND(tblDetailHPP[[#This Row],[QTY PAKAI]]*tblDetailHPP[[#This Row],[HARGA PER SATUAN DASAR]],2),""))</f>
        <v>36</v>
      </c>
      <c r="K25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54" s="34">
        <f>IF(tblDetailHPP[[#This Row],[KODE PRODUK]]="",0,IFERROR(INDEX('PENJUALAN (QTY)'!$AH$3:$AH$500,MATCH(tblDetailHPP[[#This Row],[KODE PRODUK]],'PENJUALAN (QTY)'!$A$3:$A$500,0)),0))</f>
        <v>0</v>
      </c>
      <c r="M25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55" spans="1:13">
      <c r="A255" s="34" t="s">
        <v>194</v>
      </c>
      <c r="B255" s="34" t="str">
        <f>IFERROR(INDEX(tbl_Produk[NAMA PRODUK],MATCH(tblDetailHPP[[#This Row],[KODE PRODUK]],tbl_Produk[KODE PRODUK],0)),"")</f>
        <v>ES MILO</v>
      </c>
      <c r="C255" s="34" t="s">
        <v>354</v>
      </c>
      <c r="D255" s="34" t="s">
        <v>170</v>
      </c>
      <c r="E25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5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255" s="88">
        <v>1</v>
      </c>
      <c r="H255" s="34" t="s">
        <v>4</v>
      </c>
      <c r="I25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255" s="89">
        <f>IF(tblDetailHPP[[#This Row],[KODE KOMPONEN]]="","",IF(tblDetailHPP[[#This Row],[STATUS HARGA]]="OK",ROUND(tblDetailHPP[[#This Row],[QTY PAKAI]]*tblDetailHPP[[#This Row],[HARGA PER SATUAN DASAR]],2),""))</f>
        <v>129.87</v>
      </c>
      <c r="K25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55" s="34">
        <f>IF(tblDetailHPP[[#This Row],[KODE PRODUK]]="",0,IFERROR(INDEX('PENJUALAN (QTY)'!$AH$3:$AH$500,MATCH(tblDetailHPP[[#This Row],[KODE PRODUK]],'PENJUALAN (QTY)'!$A$3:$A$500,0)),0))</f>
        <v>0</v>
      </c>
      <c r="M25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56" spans="1:13">
      <c r="A256" s="34" t="s">
        <v>195</v>
      </c>
      <c r="B256" s="34" t="str">
        <f>IFERROR(INDEX(tbl_Produk[NAMA PRODUK],MATCH(tblDetailHPP[[#This Row],[KODE PRODUK]],tbl_Produk[KODE PRODUK],0)),"")</f>
        <v>ES TEA</v>
      </c>
      <c r="C256" s="34" t="s">
        <v>354</v>
      </c>
      <c r="D256" s="34" t="s">
        <v>128</v>
      </c>
      <c r="E25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5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18 OZ OVAL</v>
      </c>
      <c r="G256" s="88">
        <v>1</v>
      </c>
      <c r="H256" s="34" t="s">
        <v>4</v>
      </c>
      <c r="I25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440</v>
      </c>
      <c r="J256" s="89">
        <f>IF(tblDetailHPP[[#This Row],[KODE KOMPONEN]]="","",IF(tblDetailHPP[[#This Row],[STATUS HARGA]]="OK",ROUND(tblDetailHPP[[#This Row],[QTY PAKAI]]*tblDetailHPP[[#This Row],[HARGA PER SATUAN DASAR]],2),""))</f>
        <v>440</v>
      </c>
      <c r="K25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56" s="34">
        <f>IF(tblDetailHPP[[#This Row],[KODE PRODUK]]="",0,IFERROR(INDEX('PENJUALAN (QTY)'!$AH$3:$AH$500,MATCH(tblDetailHPP[[#This Row],[KODE PRODUK]],'PENJUALAN (QTY)'!$A$3:$A$500,0)),0))</f>
        <v>0</v>
      </c>
      <c r="M25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57" spans="1:13">
      <c r="A257" s="34" t="s">
        <v>195</v>
      </c>
      <c r="B257" s="34" t="str">
        <f>IFERROR(INDEX(tbl_Produk[NAMA PRODUK],MATCH(tblDetailHPP[[#This Row],[KODE PRODUK]],tbl_Produk[KODE PRODUK],0)),"")</f>
        <v>ES TEA</v>
      </c>
      <c r="C257" s="34" t="s">
        <v>354</v>
      </c>
      <c r="D257" s="34" t="s">
        <v>131</v>
      </c>
      <c r="E25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5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ES KRISTAL</v>
      </c>
      <c r="G257" s="88">
        <v>200</v>
      </c>
      <c r="H257" s="34" t="s">
        <v>5</v>
      </c>
      <c r="I25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1.1000000000000001</v>
      </c>
      <c r="J257" s="89">
        <f>IF(tblDetailHPP[[#This Row],[KODE KOMPONEN]]="","",IF(tblDetailHPP[[#This Row],[STATUS HARGA]]="OK",ROUND(tblDetailHPP[[#This Row],[QTY PAKAI]]*tblDetailHPP[[#This Row],[HARGA PER SATUAN DASAR]],2),""))</f>
        <v>220</v>
      </c>
      <c r="K25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57" s="34">
        <f>IF(tblDetailHPP[[#This Row],[KODE PRODUK]]="",0,IFERROR(INDEX('PENJUALAN (QTY)'!$AH$3:$AH$500,MATCH(tblDetailHPP[[#This Row],[KODE PRODUK]],'PENJUALAN (QTY)'!$A$3:$A$500,0)),0))</f>
        <v>0</v>
      </c>
      <c r="M25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58" spans="1:13">
      <c r="A258" s="34" t="s">
        <v>195</v>
      </c>
      <c r="B258" s="34" t="str">
        <f>IFERROR(INDEX(tbl_Produk[NAMA PRODUK],MATCH(tblDetailHPP[[#This Row],[KODE PRODUK]],tbl_Produk[KODE PRODUK],0)),"")</f>
        <v>ES TEA</v>
      </c>
      <c r="C258" s="34" t="s">
        <v>354</v>
      </c>
      <c r="D258" s="34" t="s">
        <v>136</v>
      </c>
      <c r="E25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5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GULA PASIR</v>
      </c>
      <c r="G258" s="88">
        <v>33</v>
      </c>
      <c r="H258" s="34" t="s">
        <v>5</v>
      </c>
      <c r="I25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18</v>
      </c>
      <c r="J258" s="89">
        <f>IF(tblDetailHPP[[#This Row],[KODE KOMPONEN]]="","",IF(tblDetailHPP[[#This Row],[STATUS HARGA]]="OK",ROUND(tblDetailHPP[[#This Row],[QTY PAKAI]]*tblDetailHPP[[#This Row],[HARGA PER SATUAN DASAR]],2),""))</f>
        <v>594</v>
      </c>
      <c r="K25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58" s="34">
        <f>IF(tblDetailHPP[[#This Row],[KODE PRODUK]]="",0,IFERROR(INDEX('PENJUALAN (QTY)'!$AH$3:$AH$500,MATCH(tblDetailHPP[[#This Row],[KODE PRODUK]],'PENJUALAN (QTY)'!$A$3:$A$500,0)),0))</f>
        <v>0</v>
      </c>
      <c r="M25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59" spans="1:13">
      <c r="A259" s="34" t="s">
        <v>195</v>
      </c>
      <c r="B259" s="34" t="str">
        <f>IFERROR(INDEX(tbl_Produk[NAMA PRODUK],MATCH(tblDetailHPP[[#This Row],[KODE PRODUK]],tbl_Produk[KODE PRODUK],0)),"")</f>
        <v>ES TEA</v>
      </c>
      <c r="C259" s="34" t="s">
        <v>354</v>
      </c>
      <c r="D259" s="34" t="s">
        <v>142</v>
      </c>
      <c r="E25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5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259" s="88">
        <v>15</v>
      </c>
      <c r="H259" s="34" t="s">
        <v>222</v>
      </c>
      <c r="I25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259" s="89">
        <f>IF(tblDetailHPP[[#This Row],[KODE KOMPONEN]]="","",IF(tblDetailHPP[[#This Row],[STATUS HARGA]]="OK",ROUND(tblDetailHPP[[#This Row],[QTY PAKAI]]*tblDetailHPP[[#This Row],[HARGA PER SATUAN DASAR]],2),""))</f>
        <v>75</v>
      </c>
      <c r="K25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59" s="34">
        <f>IF(tblDetailHPP[[#This Row],[KODE PRODUK]]="",0,IFERROR(INDEX('PENJUALAN (QTY)'!$AH$3:$AH$500,MATCH(tblDetailHPP[[#This Row],[KODE PRODUK]],'PENJUALAN (QTY)'!$A$3:$A$500,0)),0))</f>
        <v>0</v>
      </c>
      <c r="M25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60" spans="1:13">
      <c r="A260" s="34" t="s">
        <v>195</v>
      </c>
      <c r="B260" s="34" t="str">
        <f>IFERROR(INDEX(tbl_Produk[NAMA PRODUK],MATCH(tblDetailHPP[[#This Row],[KODE PRODUK]],tbl_Produk[KODE PRODUK],0)),"")</f>
        <v>ES TEA</v>
      </c>
      <c r="C260" s="34" t="s">
        <v>354</v>
      </c>
      <c r="D260" s="34" t="s">
        <v>157</v>
      </c>
      <c r="E26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6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SEALER CUP</v>
      </c>
      <c r="G260" s="88">
        <v>1</v>
      </c>
      <c r="H260" s="34" t="s">
        <v>4</v>
      </c>
      <c r="I26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120</v>
      </c>
      <c r="J260" s="89">
        <f>IF(tblDetailHPP[[#This Row],[KODE KOMPONEN]]="","",IF(tblDetailHPP[[#This Row],[STATUS HARGA]]="OK",ROUND(tblDetailHPP[[#This Row],[QTY PAKAI]]*tblDetailHPP[[#This Row],[HARGA PER SATUAN DASAR]],2),""))</f>
        <v>120</v>
      </c>
      <c r="K26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60" s="34">
        <f>IF(tblDetailHPP[[#This Row],[KODE PRODUK]]="",0,IFERROR(INDEX('PENJUALAN (QTY)'!$AH$3:$AH$500,MATCH(tblDetailHPP[[#This Row],[KODE PRODUK]],'PENJUALAN (QTY)'!$A$3:$A$500,0)),0))</f>
        <v>0</v>
      </c>
      <c r="M26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61" spans="1:13">
      <c r="A261" s="34" t="s">
        <v>195</v>
      </c>
      <c r="B261" s="34" t="str">
        <f>IFERROR(INDEX(tbl_Produk[NAMA PRODUK],MATCH(tblDetailHPP[[#This Row],[KODE PRODUK]],tbl_Produk[KODE PRODUK],0)),"")</f>
        <v>ES TEA</v>
      </c>
      <c r="C261" s="34" t="s">
        <v>354</v>
      </c>
      <c r="D261" s="34" t="s">
        <v>158</v>
      </c>
      <c r="E26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6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261" s="88">
        <v>1</v>
      </c>
      <c r="H261" s="34" t="s">
        <v>4</v>
      </c>
      <c r="I26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261" s="89">
        <f>IF(tblDetailHPP[[#This Row],[KODE KOMPONEN]]="","",IF(tblDetailHPP[[#This Row],[STATUS HARGA]]="OK",ROUND(tblDetailHPP[[#This Row],[QTY PAKAI]]*tblDetailHPP[[#This Row],[HARGA PER SATUAN DASAR]],2),""))</f>
        <v>280</v>
      </c>
      <c r="K26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61" s="34">
        <f>IF(tblDetailHPP[[#This Row],[KODE PRODUK]]="",0,IFERROR(INDEX('PENJUALAN (QTY)'!$AH$3:$AH$500,MATCH(tblDetailHPP[[#This Row],[KODE PRODUK]],'PENJUALAN (QTY)'!$A$3:$A$500,0)),0))</f>
        <v>0</v>
      </c>
      <c r="M26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62" spans="1:13">
      <c r="A262" s="34" t="s">
        <v>195</v>
      </c>
      <c r="B262" s="34" t="str">
        <f>IFERROR(INDEX(tbl_Produk[NAMA PRODUK],MATCH(tblDetailHPP[[#This Row],[KODE PRODUK]],tbl_Produk[KODE PRODUK],0)),"")</f>
        <v>ES TEA</v>
      </c>
      <c r="C262" s="34" t="s">
        <v>354</v>
      </c>
      <c r="D262" s="34" t="s">
        <v>169</v>
      </c>
      <c r="E26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6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SEDOTAN</v>
      </c>
      <c r="G262" s="88">
        <v>1</v>
      </c>
      <c r="H262" s="34" t="s">
        <v>4</v>
      </c>
      <c r="I26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36</v>
      </c>
      <c r="J262" s="89">
        <f>IF(tblDetailHPP[[#This Row],[KODE KOMPONEN]]="","",IF(tblDetailHPP[[#This Row],[STATUS HARGA]]="OK",ROUND(tblDetailHPP[[#This Row],[QTY PAKAI]]*tblDetailHPP[[#This Row],[HARGA PER SATUAN DASAR]],2),""))</f>
        <v>36</v>
      </c>
      <c r="K26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62" s="34">
        <f>IF(tblDetailHPP[[#This Row],[KODE PRODUK]]="",0,IFERROR(INDEX('PENJUALAN (QTY)'!$AH$3:$AH$500,MATCH(tblDetailHPP[[#This Row],[KODE PRODUK]],'PENJUALAN (QTY)'!$A$3:$A$500,0)),0))</f>
        <v>0</v>
      </c>
      <c r="M26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63" spans="1:13">
      <c r="A263" s="34" t="s">
        <v>195</v>
      </c>
      <c r="B263" s="34" t="str">
        <f>IFERROR(INDEX(tbl_Produk[NAMA PRODUK],MATCH(tblDetailHPP[[#This Row],[KODE PRODUK]],tbl_Produk[KODE PRODUK],0)),"")</f>
        <v>ES TEA</v>
      </c>
      <c r="C263" s="34" t="s">
        <v>354</v>
      </c>
      <c r="D263" s="34" t="s">
        <v>170</v>
      </c>
      <c r="E26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6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263" s="88">
        <v>1</v>
      </c>
      <c r="H263" s="34" t="s">
        <v>4</v>
      </c>
      <c r="I26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263" s="89">
        <f>IF(tblDetailHPP[[#This Row],[KODE KOMPONEN]]="","",IF(tblDetailHPP[[#This Row],[STATUS HARGA]]="OK",ROUND(tblDetailHPP[[#This Row],[QTY PAKAI]]*tblDetailHPP[[#This Row],[HARGA PER SATUAN DASAR]],2),""))</f>
        <v>129.87</v>
      </c>
      <c r="K26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63" s="34">
        <f>IF(tblDetailHPP[[#This Row],[KODE PRODUK]]="",0,IFERROR(INDEX('PENJUALAN (QTY)'!$AH$3:$AH$500,MATCH(tblDetailHPP[[#This Row],[KODE PRODUK]],'PENJUALAN (QTY)'!$A$3:$A$500,0)),0))</f>
        <v>0</v>
      </c>
      <c r="M26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64" spans="1:13">
      <c r="A264" s="34" t="s">
        <v>195</v>
      </c>
      <c r="B264" s="34" t="str">
        <f>IFERROR(INDEX(tbl_Produk[NAMA PRODUK],MATCH(tblDetailHPP[[#This Row],[KODE PRODUK]],tbl_Produk[KODE PRODUK],0)),"")</f>
        <v>ES TEA</v>
      </c>
      <c r="C264" s="34" t="s">
        <v>354</v>
      </c>
      <c r="D264" s="34" t="s">
        <v>173</v>
      </c>
      <c r="E26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6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TEH</v>
      </c>
      <c r="G264" s="88">
        <v>2.9</v>
      </c>
      <c r="H264" s="34" t="s">
        <v>5</v>
      </c>
      <c r="I26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264" s="89">
        <f>IF(tblDetailHPP[[#This Row],[KODE KOMPONEN]]="","",IF(tblDetailHPP[[#This Row],[STATUS HARGA]]="OK",ROUND(tblDetailHPP[[#This Row],[QTY PAKAI]]*tblDetailHPP[[#This Row],[HARGA PER SATUAN DASAR]],2),""))</f>
        <v>290</v>
      </c>
      <c r="K26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64" s="34">
        <f>IF(tblDetailHPP[[#This Row],[KODE PRODUK]]="",0,IFERROR(INDEX('PENJUALAN (QTY)'!$AH$3:$AH$500,MATCH(tblDetailHPP[[#This Row],[KODE PRODUK]],'PENJUALAN (QTY)'!$A$3:$A$500,0)),0))</f>
        <v>0</v>
      </c>
      <c r="M26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65" spans="1:13">
      <c r="A265" s="34" t="s">
        <v>196</v>
      </c>
      <c r="B265" s="34" t="str">
        <f>IFERROR(INDEX(tbl_Produk[NAMA PRODUK],MATCH(tblDetailHPP[[#This Row],[KODE PRODUK]],tbl_Produk[KODE PRODUK],0)),"")</f>
        <v>FRENCH FRIES</v>
      </c>
      <c r="C265" s="34" t="s">
        <v>354</v>
      </c>
      <c r="D265" s="34" t="s">
        <v>132</v>
      </c>
      <c r="E26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26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FRENCH FRIES</v>
      </c>
      <c r="G265" s="88">
        <v>100</v>
      </c>
      <c r="H265" s="34" t="s">
        <v>5</v>
      </c>
      <c r="I26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</v>
      </c>
      <c r="J265" s="89">
        <f>IF(tblDetailHPP[[#This Row],[KODE KOMPONEN]]="","",IF(tblDetailHPP[[#This Row],[STATUS HARGA]]="OK",ROUND(tblDetailHPP[[#This Row],[QTY PAKAI]]*tblDetailHPP[[#This Row],[HARGA PER SATUAN DASAR]],2),""))</f>
        <v>3000</v>
      </c>
      <c r="K26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65" s="34">
        <f>IF(tblDetailHPP[[#This Row],[KODE PRODUK]]="",0,IFERROR(INDEX('PENJUALAN (QTY)'!$AH$3:$AH$500,MATCH(tblDetailHPP[[#This Row],[KODE PRODUK]],'PENJUALAN (QTY)'!$A$3:$A$500,0)),0))</f>
        <v>0</v>
      </c>
      <c r="M26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66" spans="1:13">
      <c r="A266" s="34" t="s">
        <v>196</v>
      </c>
      <c r="B266" s="34" t="str">
        <f>IFERROR(INDEX(tbl_Produk[NAMA PRODUK],MATCH(tblDetailHPP[[#This Row],[KODE PRODUK]],tbl_Produk[KODE PRODUK],0)),"")</f>
        <v>FRENCH FRIES</v>
      </c>
      <c r="C266" s="34" t="s">
        <v>354</v>
      </c>
      <c r="D266" s="34" t="s">
        <v>142</v>
      </c>
      <c r="E26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6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266" s="88">
        <v>15</v>
      </c>
      <c r="H266" s="34" t="s">
        <v>222</v>
      </c>
      <c r="I26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266" s="89">
        <f>IF(tblDetailHPP[[#This Row],[KODE KOMPONEN]]="","",IF(tblDetailHPP[[#This Row],[STATUS HARGA]]="OK",ROUND(tblDetailHPP[[#This Row],[QTY PAKAI]]*tblDetailHPP[[#This Row],[HARGA PER SATUAN DASAR]],2),""))</f>
        <v>75</v>
      </c>
      <c r="K26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66" s="34">
        <f>IF(tblDetailHPP[[#This Row],[KODE PRODUK]]="",0,IFERROR(INDEX('PENJUALAN (QTY)'!$AH$3:$AH$500,MATCH(tblDetailHPP[[#This Row],[KODE PRODUK]],'PENJUALAN (QTY)'!$A$3:$A$500,0)),0))</f>
        <v>0</v>
      </c>
      <c r="M26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67" spans="1:13">
      <c r="A267" s="34" t="s">
        <v>196</v>
      </c>
      <c r="B267" s="34" t="str">
        <f>IFERROR(INDEX(tbl_Produk[NAMA PRODUK],MATCH(tblDetailHPP[[#This Row],[KODE PRODUK]],tbl_Produk[KODE PRODUK],0)),"")</f>
        <v>FRENCH FRIES</v>
      </c>
      <c r="C267" s="34" t="s">
        <v>354</v>
      </c>
      <c r="D267" s="34" t="s">
        <v>143</v>
      </c>
      <c r="E26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6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267" s="88">
        <v>13</v>
      </c>
      <c r="H267" s="34" t="s">
        <v>5</v>
      </c>
      <c r="I26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267" s="89">
        <f>IF(tblDetailHPP[[#This Row],[KODE KOMPONEN]]="","",IF(tblDetailHPP[[#This Row],[STATUS HARGA]]="OK",ROUND(tblDetailHPP[[#This Row],[QTY PAKAI]]*tblDetailHPP[[#This Row],[HARGA PER SATUAN DASAR]],2),""))</f>
        <v>99.67</v>
      </c>
      <c r="K26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67" s="34">
        <f>IF(tblDetailHPP[[#This Row],[KODE PRODUK]]="",0,IFERROR(INDEX('PENJUALAN (QTY)'!$AH$3:$AH$500,MATCH(tblDetailHPP[[#This Row],[KODE PRODUK]],'PENJUALAN (QTY)'!$A$3:$A$500,0)),0))</f>
        <v>0</v>
      </c>
      <c r="M26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68" spans="1:13">
      <c r="A268" s="34" t="s">
        <v>196</v>
      </c>
      <c r="B268" s="34" t="str">
        <f>IFERROR(INDEX(tbl_Produk[NAMA PRODUK],MATCH(tblDetailHPP[[#This Row],[KODE PRODUK]],tbl_Produk[KODE PRODUK],0)),"")</f>
        <v>FRENCH FRIES</v>
      </c>
      <c r="C268" s="34" t="s">
        <v>354</v>
      </c>
      <c r="D268" s="34" t="s">
        <v>153</v>
      </c>
      <c r="E26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6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LUNCHBOX XS</v>
      </c>
      <c r="G268" s="88">
        <v>1</v>
      </c>
      <c r="H268" s="34" t="s">
        <v>4</v>
      </c>
      <c r="I26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450</v>
      </c>
      <c r="J268" s="89">
        <f>IF(tblDetailHPP[[#This Row],[KODE KOMPONEN]]="","",IF(tblDetailHPP[[#This Row],[STATUS HARGA]]="OK",ROUND(tblDetailHPP[[#This Row],[QTY PAKAI]]*tblDetailHPP[[#This Row],[HARGA PER SATUAN DASAR]],2),""))</f>
        <v>450</v>
      </c>
      <c r="K26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68" s="34">
        <f>IF(tblDetailHPP[[#This Row],[KODE PRODUK]]="",0,IFERROR(INDEX('PENJUALAN (QTY)'!$AH$3:$AH$500,MATCH(tblDetailHPP[[#This Row],[KODE PRODUK]],'PENJUALAN (QTY)'!$A$3:$A$500,0)),0))</f>
        <v>0</v>
      </c>
      <c r="M26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69" spans="1:13">
      <c r="A269" s="34" t="s">
        <v>196</v>
      </c>
      <c r="B269" s="34" t="str">
        <f>IFERROR(INDEX(tbl_Produk[NAMA PRODUK],MATCH(tblDetailHPP[[#This Row],[KODE PRODUK]],tbl_Produk[KODE PRODUK],0)),"")</f>
        <v>FRENCH FRIES</v>
      </c>
      <c r="C269" s="34" t="s">
        <v>354</v>
      </c>
      <c r="D269" s="34" t="s">
        <v>150</v>
      </c>
      <c r="E26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6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269" s="88">
        <v>10</v>
      </c>
      <c r="H269" s="34" t="s">
        <v>6</v>
      </c>
      <c r="I26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269" s="89">
        <f>IF(tblDetailHPP[[#This Row],[KODE KOMPONEN]]="","",IF(tblDetailHPP[[#This Row],[STATUS HARGA]]="OK",ROUND(tblDetailHPP[[#This Row],[QTY PAKAI]]*tblDetailHPP[[#This Row],[HARGA PER SATUAN DASAR]],2),""))</f>
        <v>230</v>
      </c>
      <c r="K26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69" s="34">
        <f>IF(tblDetailHPP[[#This Row],[KODE PRODUK]]="",0,IFERROR(INDEX('PENJUALAN (QTY)'!$AH$3:$AH$500,MATCH(tblDetailHPP[[#This Row],[KODE PRODUK]],'PENJUALAN (QTY)'!$A$3:$A$500,0)),0))</f>
        <v>0</v>
      </c>
      <c r="M26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70" spans="1:13">
      <c r="A270" s="34" t="s">
        <v>196</v>
      </c>
      <c r="B270" s="34" t="str">
        <f>IFERROR(INDEX(tbl_Produk[NAMA PRODUK],MATCH(tblDetailHPP[[#This Row],[KODE PRODUK]],tbl_Produk[KODE PRODUK],0)),"")</f>
        <v>FRENCH FRIES</v>
      </c>
      <c r="C270" s="34" t="s">
        <v>354</v>
      </c>
      <c r="D270" s="34" t="s">
        <v>158</v>
      </c>
      <c r="E27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7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270" s="88">
        <v>1</v>
      </c>
      <c r="H270" s="34" t="s">
        <v>4</v>
      </c>
      <c r="I27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270" s="89">
        <f>IF(tblDetailHPP[[#This Row],[KODE KOMPONEN]]="","",IF(tblDetailHPP[[#This Row],[STATUS HARGA]]="OK",ROUND(tblDetailHPP[[#This Row],[QTY PAKAI]]*tblDetailHPP[[#This Row],[HARGA PER SATUAN DASAR]],2),""))</f>
        <v>280</v>
      </c>
      <c r="K27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0" s="34">
        <f>IF(tblDetailHPP[[#This Row],[KODE PRODUK]]="",0,IFERROR(INDEX('PENJUALAN (QTY)'!$AH$3:$AH$500,MATCH(tblDetailHPP[[#This Row],[KODE PRODUK]],'PENJUALAN (QTY)'!$A$3:$A$500,0)),0))</f>
        <v>0</v>
      </c>
      <c r="M27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71" spans="1:13">
      <c r="A271" s="34" t="s">
        <v>196</v>
      </c>
      <c r="B271" s="34" t="str">
        <f>IFERROR(INDEX(tbl_Produk[NAMA PRODUK],MATCH(tblDetailHPP[[#This Row],[KODE PRODUK]],tbl_Produk[KODE PRODUK],0)),"")</f>
        <v>FRENCH FRIES</v>
      </c>
      <c r="C271" s="34" t="s">
        <v>354</v>
      </c>
      <c r="D271" s="34" t="s">
        <v>164</v>
      </c>
      <c r="E27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7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SACHET SAMBAL</v>
      </c>
      <c r="G271" s="88">
        <v>1</v>
      </c>
      <c r="H271" s="34" t="s">
        <v>4</v>
      </c>
      <c r="I27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208.33333333333334</v>
      </c>
      <c r="J271" s="89">
        <f>IF(tblDetailHPP[[#This Row],[KODE KOMPONEN]]="","",IF(tblDetailHPP[[#This Row],[STATUS HARGA]]="OK",ROUND(tblDetailHPP[[#This Row],[QTY PAKAI]]*tblDetailHPP[[#This Row],[HARGA PER SATUAN DASAR]],2),""))</f>
        <v>208.33</v>
      </c>
      <c r="K27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1" s="34">
        <f>IF(tblDetailHPP[[#This Row],[KODE PRODUK]]="",0,IFERROR(INDEX('PENJUALAN (QTY)'!$AH$3:$AH$500,MATCH(tblDetailHPP[[#This Row],[KODE PRODUK]],'PENJUALAN (QTY)'!$A$3:$A$500,0)),0))</f>
        <v>0</v>
      </c>
      <c r="M27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72" spans="1:13">
      <c r="A272" s="34" t="s">
        <v>196</v>
      </c>
      <c r="B272" s="34" t="str">
        <f>IFERROR(INDEX(tbl_Produk[NAMA PRODUK],MATCH(tblDetailHPP[[#This Row],[KODE PRODUK]],tbl_Produk[KODE PRODUK],0)),"")</f>
        <v>FRENCH FRIES</v>
      </c>
      <c r="C272" s="34" t="s">
        <v>354</v>
      </c>
      <c r="D272" s="34" t="s">
        <v>165</v>
      </c>
      <c r="E27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7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SACHET TOMAT</v>
      </c>
      <c r="G272" s="88">
        <v>1</v>
      </c>
      <c r="H272" s="34" t="s">
        <v>4</v>
      </c>
      <c r="I27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208.33333333333334</v>
      </c>
      <c r="J272" s="89">
        <f>IF(tblDetailHPP[[#This Row],[KODE KOMPONEN]]="","",IF(tblDetailHPP[[#This Row],[STATUS HARGA]]="OK",ROUND(tblDetailHPP[[#This Row],[QTY PAKAI]]*tblDetailHPP[[#This Row],[HARGA PER SATUAN DASAR]],2),""))</f>
        <v>208.33</v>
      </c>
      <c r="K27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2" s="34">
        <f>IF(tblDetailHPP[[#This Row],[KODE PRODUK]]="",0,IFERROR(INDEX('PENJUALAN (QTY)'!$AH$3:$AH$500,MATCH(tblDetailHPP[[#This Row],[KODE PRODUK]],'PENJUALAN (QTY)'!$A$3:$A$500,0)),0))</f>
        <v>0</v>
      </c>
      <c r="M27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73" spans="1:13">
      <c r="A273" s="34" t="s">
        <v>196</v>
      </c>
      <c r="B273" s="34" t="str">
        <f>IFERROR(INDEX(tbl_Produk[NAMA PRODUK],MATCH(tblDetailHPP[[#This Row],[KODE PRODUK]],tbl_Produk[KODE PRODUK],0)),"")</f>
        <v>FRENCH FRIES</v>
      </c>
      <c r="C273" s="34" t="s">
        <v>354</v>
      </c>
      <c r="D273" s="34" t="s">
        <v>170</v>
      </c>
      <c r="E27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7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273" s="88">
        <v>1</v>
      </c>
      <c r="H273" s="34" t="s">
        <v>4</v>
      </c>
      <c r="I27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273" s="89">
        <f>IF(tblDetailHPP[[#This Row],[KODE KOMPONEN]]="","",IF(tblDetailHPP[[#This Row],[STATUS HARGA]]="OK",ROUND(tblDetailHPP[[#This Row],[QTY PAKAI]]*tblDetailHPP[[#This Row],[HARGA PER SATUAN DASAR]],2),""))</f>
        <v>129.87</v>
      </c>
      <c r="K27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3" s="34">
        <f>IF(tblDetailHPP[[#This Row],[KODE PRODUK]]="",0,IFERROR(INDEX('PENJUALAN (QTY)'!$AH$3:$AH$500,MATCH(tblDetailHPP[[#This Row],[KODE PRODUK]],'PENJUALAN (QTY)'!$A$3:$A$500,0)),0))</f>
        <v>0</v>
      </c>
      <c r="M27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74" spans="1:13">
      <c r="A274" s="34" t="s">
        <v>197</v>
      </c>
      <c r="B274" s="34" t="str">
        <f>IFERROR(INDEX(tbl_Produk[NAMA PRODUK],MATCH(tblDetailHPP[[#This Row],[KODE PRODUK]],tbl_Produk[KODE PRODUK],0)),"")</f>
        <v>JAMUR CRISPY</v>
      </c>
      <c r="C274" s="34" t="s">
        <v>354</v>
      </c>
      <c r="D274" s="34" t="s">
        <v>138</v>
      </c>
      <c r="E27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27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JAMUR TIRAM</v>
      </c>
      <c r="G274" s="88">
        <v>100</v>
      </c>
      <c r="H274" s="34" t="s">
        <v>5</v>
      </c>
      <c r="I27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25</v>
      </c>
      <c r="J274" s="89">
        <f>IF(tblDetailHPP[[#This Row],[KODE KOMPONEN]]="","",IF(tblDetailHPP[[#This Row],[STATUS HARGA]]="OK",ROUND(tblDetailHPP[[#This Row],[QTY PAKAI]]*tblDetailHPP[[#This Row],[HARGA PER SATUAN DASAR]],2),""))</f>
        <v>2500</v>
      </c>
      <c r="K27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4" s="34">
        <f>IF(tblDetailHPP[[#This Row],[KODE PRODUK]]="",0,IFERROR(INDEX('PENJUALAN (QTY)'!$AH$3:$AH$500,MATCH(tblDetailHPP[[#This Row],[KODE PRODUK]],'PENJUALAN (QTY)'!$A$3:$A$500,0)),0))</f>
        <v>0</v>
      </c>
      <c r="M27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75" spans="1:13">
      <c r="A275" s="34" t="s">
        <v>197</v>
      </c>
      <c r="B275" s="34" t="str">
        <f>IFERROR(INDEX(tbl_Produk[NAMA PRODUK],MATCH(tblDetailHPP[[#This Row],[KODE PRODUK]],tbl_Produk[KODE PRODUK],0)),"")</f>
        <v>JAMUR CRISPY</v>
      </c>
      <c r="C275" s="34" t="s">
        <v>354</v>
      </c>
      <c r="D275" s="34" t="s">
        <v>142</v>
      </c>
      <c r="E27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7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275" s="88">
        <v>15</v>
      </c>
      <c r="H275" s="34" t="s">
        <v>222</v>
      </c>
      <c r="I27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275" s="89">
        <f>IF(tblDetailHPP[[#This Row],[KODE KOMPONEN]]="","",IF(tblDetailHPP[[#This Row],[STATUS HARGA]]="OK",ROUND(tblDetailHPP[[#This Row],[QTY PAKAI]]*tblDetailHPP[[#This Row],[HARGA PER SATUAN DASAR]],2),""))</f>
        <v>75</v>
      </c>
      <c r="K27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5" s="34">
        <f>IF(tblDetailHPP[[#This Row],[KODE PRODUK]]="",0,IFERROR(INDEX('PENJUALAN (QTY)'!$AH$3:$AH$500,MATCH(tblDetailHPP[[#This Row],[KODE PRODUK]],'PENJUALAN (QTY)'!$A$3:$A$500,0)),0))</f>
        <v>0</v>
      </c>
      <c r="M27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76" spans="1:13">
      <c r="A276" s="34" t="s">
        <v>197</v>
      </c>
      <c r="B276" s="34" t="str">
        <f>IFERROR(INDEX(tbl_Produk[NAMA PRODUK],MATCH(tblDetailHPP[[#This Row],[KODE PRODUK]],tbl_Produk[KODE PRODUK],0)),"")</f>
        <v>JAMUR CRISPY</v>
      </c>
      <c r="C276" s="34" t="s">
        <v>354</v>
      </c>
      <c r="D276" s="34" t="s">
        <v>143</v>
      </c>
      <c r="E27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7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276" s="88">
        <v>13</v>
      </c>
      <c r="H276" s="34" t="s">
        <v>5</v>
      </c>
      <c r="I27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276" s="89">
        <f>IF(tblDetailHPP[[#This Row],[KODE KOMPONEN]]="","",IF(tblDetailHPP[[#This Row],[STATUS HARGA]]="OK",ROUND(tblDetailHPP[[#This Row],[QTY PAKAI]]*tblDetailHPP[[#This Row],[HARGA PER SATUAN DASAR]],2),""))</f>
        <v>99.67</v>
      </c>
      <c r="K27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6" s="34">
        <f>IF(tblDetailHPP[[#This Row],[KODE PRODUK]]="",0,IFERROR(INDEX('PENJUALAN (QTY)'!$AH$3:$AH$500,MATCH(tblDetailHPP[[#This Row],[KODE PRODUK]],'PENJUALAN (QTY)'!$A$3:$A$500,0)),0))</f>
        <v>0</v>
      </c>
      <c r="M27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77" spans="1:13">
      <c r="A277" s="34" t="s">
        <v>197</v>
      </c>
      <c r="B277" s="34" t="str">
        <f>IFERROR(INDEX(tbl_Produk[NAMA PRODUK],MATCH(tblDetailHPP[[#This Row],[KODE PRODUK]],tbl_Produk[KODE PRODUK],0)),"")</f>
        <v>JAMUR CRISPY</v>
      </c>
      <c r="C277" s="34" t="s">
        <v>354</v>
      </c>
      <c r="D277" s="34" t="s">
        <v>153</v>
      </c>
      <c r="E27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7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LUNCHBOX XS</v>
      </c>
      <c r="G277" s="88">
        <v>1</v>
      </c>
      <c r="H277" s="34" t="s">
        <v>4</v>
      </c>
      <c r="I27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450</v>
      </c>
      <c r="J277" s="89">
        <f>IF(tblDetailHPP[[#This Row],[KODE KOMPONEN]]="","",IF(tblDetailHPP[[#This Row],[STATUS HARGA]]="OK",ROUND(tblDetailHPP[[#This Row],[QTY PAKAI]]*tblDetailHPP[[#This Row],[HARGA PER SATUAN DASAR]],2),""))</f>
        <v>450</v>
      </c>
      <c r="K27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7" s="34">
        <f>IF(tblDetailHPP[[#This Row],[KODE PRODUK]]="",0,IFERROR(INDEX('PENJUALAN (QTY)'!$AH$3:$AH$500,MATCH(tblDetailHPP[[#This Row],[KODE PRODUK]],'PENJUALAN (QTY)'!$A$3:$A$500,0)),0))</f>
        <v>0</v>
      </c>
      <c r="M27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78" spans="1:13">
      <c r="A278" s="34" t="s">
        <v>197</v>
      </c>
      <c r="B278" s="34" t="str">
        <f>IFERROR(INDEX(tbl_Produk[NAMA PRODUK],MATCH(tblDetailHPP[[#This Row],[KODE PRODUK]],tbl_Produk[KODE PRODUK],0)),"")</f>
        <v>JAMUR CRISPY</v>
      </c>
      <c r="C278" s="34" t="s">
        <v>354</v>
      </c>
      <c r="D278" s="34" t="s">
        <v>150</v>
      </c>
      <c r="E27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7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278" s="88">
        <v>30</v>
      </c>
      <c r="H278" s="34" t="s">
        <v>6</v>
      </c>
      <c r="I27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278" s="89">
        <f>IF(tblDetailHPP[[#This Row],[KODE KOMPONEN]]="","",IF(tblDetailHPP[[#This Row],[STATUS HARGA]]="OK",ROUND(tblDetailHPP[[#This Row],[QTY PAKAI]]*tblDetailHPP[[#This Row],[HARGA PER SATUAN DASAR]],2),""))</f>
        <v>690</v>
      </c>
      <c r="K27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8" s="34">
        <f>IF(tblDetailHPP[[#This Row],[KODE PRODUK]]="",0,IFERROR(INDEX('PENJUALAN (QTY)'!$AH$3:$AH$500,MATCH(tblDetailHPP[[#This Row],[KODE PRODUK]],'PENJUALAN (QTY)'!$A$3:$A$500,0)),0))</f>
        <v>0</v>
      </c>
      <c r="M27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79" spans="1:13">
      <c r="A279" s="34" t="s">
        <v>197</v>
      </c>
      <c r="B279" s="34" t="str">
        <f>IFERROR(INDEX(tbl_Produk[NAMA PRODUK],MATCH(tblDetailHPP[[#This Row],[KODE PRODUK]],tbl_Produk[KODE PRODUK],0)),"")</f>
        <v>JAMUR CRISPY</v>
      </c>
      <c r="C279" s="34" t="s">
        <v>354</v>
      </c>
      <c r="D279" s="34" t="s">
        <v>158</v>
      </c>
      <c r="E27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7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279" s="88">
        <v>1</v>
      </c>
      <c r="H279" s="34" t="s">
        <v>4</v>
      </c>
      <c r="I27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279" s="89">
        <f>IF(tblDetailHPP[[#This Row],[KODE KOMPONEN]]="","",IF(tblDetailHPP[[#This Row],[STATUS HARGA]]="OK",ROUND(tblDetailHPP[[#This Row],[QTY PAKAI]]*tblDetailHPP[[#This Row],[HARGA PER SATUAN DASAR]],2),""))</f>
        <v>280</v>
      </c>
      <c r="K27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79" s="34">
        <f>IF(tblDetailHPP[[#This Row],[KODE PRODUK]]="",0,IFERROR(INDEX('PENJUALAN (QTY)'!$AH$3:$AH$500,MATCH(tblDetailHPP[[#This Row],[KODE PRODUK]],'PENJUALAN (QTY)'!$A$3:$A$500,0)),0))</f>
        <v>0</v>
      </c>
      <c r="M27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80" spans="1:13">
      <c r="A280" s="34" t="s">
        <v>197</v>
      </c>
      <c r="B280" s="34" t="str">
        <f>IFERROR(INDEX(tbl_Produk[NAMA PRODUK],MATCH(tblDetailHPP[[#This Row],[KODE PRODUK]],tbl_Produk[KODE PRODUK],0)),"")</f>
        <v>JAMUR CRISPY</v>
      </c>
      <c r="C280" s="34" t="s">
        <v>354</v>
      </c>
      <c r="D280" s="34" t="s">
        <v>164</v>
      </c>
      <c r="E28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8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SACHET SAMBAL</v>
      </c>
      <c r="G280" s="88">
        <v>1</v>
      </c>
      <c r="H280" s="34" t="s">
        <v>4</v>
      </c>
      <c r="I28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208.33333333333334</v>
      </c>
      <c r="J280" s="89">
        <f>IF(tblDetailHPP[[#This Row],[KODE KOMPONEN]]="","",IF(tblDetailHPP[[#This Row],[STATUS HARGA]]="OK",ROUND(tblDetailHPP[[#This Row],[QTY PAKAI]]*tblDetailHPP[[#This Row],[HARGA PER SATUAN DASAR]],2),""))</f>
        <v>208.33</v>
      </c>
      <c r="K28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0" s="34">
        <f>IF(tblDetailHPP[[#This Row],[KODE PRODUK]]="",0,IFERROR(INDEX('PENJUALAN (QTY)'!$AH$3:$AH$500,MATCH(tblDetailHPP[[#This Row],[KODE PRODUK]],'PENJUALAN (QTY)'!$A$3:$A$500,0)),0))</f>
        <v>0</v>
      </c>
      <c r="M28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81" spans="1:13">
      <c r="A281" s="34" t="s">
        <v>197</v>
      </c>
      <c r="B281" s="34" t="str">
        <f>IFERROR(INDEX(tbl_Produk[NAMA PRODUK],MATCH(tblDetailHPP[[#This Row],[KODE PRODUK]],tbl_Produk[KODE PRODUK],0)),"")</f>
        <v>JAMUR CRISPY</v>
      </c>
      <c r="C281" s="34" t="s">
        <v>354</v>
      </c>
      <c r="D281" s="34" t="s">
        <v>165</v>
      </c>
      <c r="E28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8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SACHET TOMAT</v>
      </c>
      <c r="G281" s="88">
        <v>1</v>
      </c>
      <c r="H281" s="34" t="s">
        <v>4</v>
      </c>
      <c r="I28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208.33333333333334</v>
      </c>
      <c r="J281" s="89">
        <f>IF(tblDetailHPP[[#This Row],[KODE KOMPONEN]]="","",IF(tblDetailHPP[[#This Row],[STATUS HARGA]]="OK",ROUND(tblDetailHPP[[#This Row],[QTY PAKAI]]*tblDetailHPP[[#This Row],[HARGA PER SATUAN DASAR]],2),""))</f>
        <v>208.33</v>
      </c>
      <c r="K28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1" s="34">
        <f>IF(tblDetailHPP[[#This Row],[KODE PRODUK]]="",0,IFERROR(INDEX('PENJUALAN (QTY)'!$AH$3:$AH$500,MATCH(tblDetailHPP[[#This Row],[KODE PRODUK]],'PENJUALAN (QTY)'!$A$3:$A$500,0)),0))</f>
        <v>0</v>
      </c>
      <c r="M28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82" spans="1:13">
      <c r="A282" s="34" t="s">
        <v>197</v>
      </c>
      <c r="B282" s="34" t="str">
        <f>IFERROR(INDEX(tbl_Produk[NAMA PRODUK],MATCH(tblDetailHPP[[#This Row],[KODE PRODUK]],tbl_Produk[KODE PRODUK],0)),"")</f>
        <v>JAMUR CRISPY</v>
      </c>
      <c r="C282" s="34" t="s">
        <v>354</v>
      </c>
      <c r="D282" s="34" t="s">
        <v>170</v>
      </c>
      <c r="E28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8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282" s="88">
        <v>1</v>
      </c>
      <c r="H282" s="34" t="s">
        <v>4</v>
      </c>
      <c r="I28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282" s="89">
        <f>IF(tblDetailHPP[[#This Row],[KODE KOMPONEN]]="","",IF(tblDetailHPP[[#This Row],[STATUS HARGA]]="OK",ROUND(tblDetailHPP[[#This Row],[QTY PAKAI]]*tblDetailHPP[[#This Row],[HARGA PER SATUAN DASAR]],2),""))</f>
        <v>129.87</v>
      </c>
      <c r="K28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2" s="34">
        <f>IF(tblDetailHPP[[#This Row],[KODE PRODUK]]="",0,IFERROR(INDEX('PENJUALAN (QTY)'!$AH$3:$AH$500,MATCH(tblDetailHPP[[#This Row],[KODE PRODUK]],'PENJUALAN (QTY)'!$A$3:$A$500,0)),0))</f>
        <v>0</v>
      </c>
      <c r="M28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83" spans="1:13">
      <c r="A283" s="34" t="s">
        <v>197</v>
      </c>
      <c r="B283" s="34" t="str">
        <f>IFERROR(INDEX(tbl_Produk[NAMA PRODUK],MATCH(tblDetailHPP[[#This Row],[KODE PRODUK]],tbl_Produk[KODE PRODUK],0)),"")</f>
        <v>JAMUR CRISPY</v>
      </c>
      <c r="C283" s="34" t="s">
        <v>354</v>
      </c>
      <c r="D283" s="34" t="s">
        <v>174</v>
      </c>
      <c r="E28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8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TEPUNG TERIGU</v>
      </c>
      <c r="G283" s="88">
        <v>125</v>
      </c>
      <c r="H283" s="34" t="s">
        <v>5</v>
      </c>
      <c r="I28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8</v>
      </c>
      <c r="J283" s="89">
        <f>IF(tblDetailHPP[[#This Row],[KODE KOMPONEN]]="","",IF(tblDetailHPP[[#This Row],[STATUS HARGA]]="OK",ROUND(tblDetailHPP[[#This Row],[QTY PAKAI]]*tblDetailHPP[[#This Row],[HARGA PER SATUAN DASAR]],2),""))</f>
        <v>1000</v>
      </c>
      <c r="K28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3" s="34">
        <f>IF(tblDetailHPP[[#This Row],[KODE PRODUK]]="",0,IFERROR(INDEX('PENJUALAN (QTY)'!$AH$3:$AH$500,MATCH(tblDetailHPP[[#This Row],[KODE PRODUK]],'PENJUALAN (QTY)'!$A$3:$A$500,0)),0))</f>
        <v>0</v>
      </c>
      <c r="M28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84" spans="1:13">
      <c r="A284" s="34" t="s">
        <v>198</v>
      </c>
      <c r="B284" s="34" t="str">
        <f>IFERROR(INDEX(tbl_Produk[NAMA PRODUK],MATCH(tblDetailHPP[[#This Row],[KODE PRODUK]],tbl_Produk[KODE PRODUK],0)),"")</f>
        <v>MILKSHAKE</v>
      </c>
      <c r="C284" s="34" t="s">
        <v>354</v>
      </c>
      <c r="D284" s="34" t="s">
        <v>128</v>
      </c>
      <c r="E28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8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18 OZ OVAL</v>
      </c>
      <c r="G284" s="88">
        <v>1</v>
      </c>
      <c r="H284" s="34" t="s">
        <v>4</v>
      </c>
      <c r="I28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440</v>
      </c>
      <c r="J284" s="89">
        <f>IF(tblDetailHPP[[#This Row],[KODE KOMPONEN]]="","",IF(tblDetailHPP[[#This Row],[STATUS HARGA]]="OK",ROUND(tblDetailHPP[[#This Row],[QTY PAKAI]]*tblDetailHPP[[#This Row],[HARGA PER SATUAN DASAR]],2),""))</f>
        <v>440</v>
      </c>
      <c r="K28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4" s="34">
        <f>IF(tblDetailHPP[[#This Row],[KODE PRODUK]]="",0,IFERROR(INDEX('PENJUALAN (QTY)'!$AH$3:$AH$500,MATCH(tblDetailHPP[[#This Row],[KODE PRODUK]],'PENJUALAN (QTY)'!$A$3:$A$500,0)),0))</f>
        <v>0</v>
      </c>
      <c r="M28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85" spans="1:13">
      <c r="A285" s="34" t="s">
        <v>198</v>
      </c>
      <c r="B285" s="34" t="str">
        <f>IFERROR(INDEX(tbl_Produk[NAMA PRODUK],MATCH(tblDetailHPP[[#This Row],[KODE PRODUK]],tbl_Produk[KODE PRODUK],0)),"")</f>
        <v>MILKSHAKE</v>
      </c>
      <c r="C285" s="34" t="s">
        <v>354</v>
      </c>
      <c r="D285" s="34" t="s">
        <v>131</v>
      </c>
      <c r="E28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8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ES KRISTAL</v>
      </c>
      <c r="G285" s="88">
        <v>200</v>
      </c>
      <c r="H285" s="34" t="s">
        <v>5</v>
      </c>
      <c r="I28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1.1000000000000001</v>
      </c>
      <c r="J285" s="89">
        <f>IF(tblDetailHPP[[#This Row],[KODE KOMPONEN]]="","",IF(tblDetailHPP[[#This Row],[STATUS HARGA]]="OK",ROUND(tblDetailHPP[[#This Row],[QTY PAKAI]]*tblDetailHPP[[#This Row],[HARGA PER SATUAN DASAR]],2),""))</f>
        <v>220</v>
      </c>
      <c r="K28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5" s="34">
        <f>IF(tblDetailHPP[[#This Row],[KODE PRODUK]]="",0,IFERROR(INDEX('PENJUALAN (QTY)'!$AH$3:$AH$500,MATCH(tblDetailHPP[[#This Row],[KODE PRODUK]],'PENJUALAN (QTY)'!$A$3:$A$500,0)),0))</f>
        <v>0</v>
      </c>
      <c r="M28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86" spans="1:13">
      <c r="A286" s="34" t="s">
        <v>198</v>
      </c>
      <c r="B286" s="34" t="str">
        <f>IFERROR(INDEX(tbl_Produk[NAMA PRODUK],MATCH(tblDetailHPP[[#This Row],[KODE PRODUK]],tbl_Produk[KODE PRODUK],0)),"")</f>
        <v>MILKSHAKE</v>
      </c>
      <c r="C286" s="34" t="s">
        <v>354</v>
      </c>
      <c r="D286" s="34" t="s">
        <v>142</v>
      </c>
      <c r="E28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8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286" s="88">
        <v>15</v>
      </c>
      <c r="H286" s="34" t="s">
        <v>222</v>
      </c>
      <c r="I28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286" s="89">
        <f>IF(tblDetailHPP[[#This Row],[KODE KOMPONEN]]="","",IF(tblDetailHPP[[#This Row],[STATUS HARGA]]="OK",ROUND(tblDetailHPP[[#This Row],[QTY PAKAI]]*tblDetailHPP[[#This Row],[HARGA PER SATUAN DASAR]],2),""))</f>
        <v>75</v>
      </c>
      <c r="K28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6" s="34">
        <f>IF(tblDetailHPP[[#This Row],[KODE PRODUK]]="",0,IFERROR(INDEX('PENJUALAN (QTY)'!$AH$3:$AH$500,MATCH(tblDetailHPP[[#This Row],[KODE PRODUK]],'PENJUALAN (QTY)'!$A$3:$A$500,0)),0))</f>
        <v>0</v>
      </c>
      <c r="M28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87" spans="1:13">
      <c r="A287" s="34" t="s">
        <v>198</v>
      </c>
      <c r="B287" s="34" t="str">
        <f>IFERROR(INDEX(tbl_Produk[NAMA PRODUK],MATCH(tblDetailHPP[[#This Row],[KODE PRODUK]],tbl_Produk[KODE PRODUK],0)),"")</f>
        <v>MILKSHAKE</v>
      </c>
      <c r="C287" s="34" t="s">
        <v>354</v>
      </c>
      <c r="D287" s="34" t="s">
        <v>226</v>
      </c>
      <c r="E28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8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OMURA BLEND</v>
      </c>
      <c r="G287" s="88">
        <v>40</v>
      </c>
      <c r="H287" s="34" t="s">
        <v>5</v>
      </c>
      <c r="I28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55</v>
      </c>
      <c r="J287" s="89">
        <f>IF(tblDetailHPP[[#This Row],[KODE KOMPONEN]]="","",IF(tblDetailHPP[[#This Row],[STATUS HARGA]]="OK",ROUND(tblDetailHPP[[#This Row],[QTY PAKAI]]*tblDetailHPP[[#This Row],[HARGA PER SATUAN DASAR]],2),""))</f>
        <v>2200</v>
      </c>
      <c r="K28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7" s="34">
        <f>IF(tblDetailHPP[[#This Row],[KODE PRODUK]]="",0,IFERROR(INDEX('PENJUALAN (QTY)'!$AH$3:$AH$500,MATCH(tblDetailHPP[[#This Row],[KODE PRODUK]],'PENJUALAN (QTY)'!$A$3:$A$500,0)),0))</f>
        <v>0</v>
      </c>
      <c r="M28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88" spans="1:13">
      <c r="A288" s="34" t="s">
        <v>198</v>
      </c>
      <c r="B288" s="34" t="str">
        <f>IFERROR(INDEX(tbl_Produk[NAMA PRODUK],MATCH(tblDetailHPP[[#This Row],[KODE PRODUK]],tbl_Produk[KODE PRODUK],0)),"")</f>
        <v>MILKSHAKE</v>
      </c>
      <c r="C288" s="34" t="s">
        <v>354</v>
      </c>
      <c r="D288" s="34" t="s">
        <v>157</v>
      </c>
      <c r="E28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8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SEALER CUP</v>
      </c>
      <c r="G288" s="88">
        <v>1</v>
      </c>
      <c r="H288" s="34" t="s">
        <v>4</v>
      </c>
      <c r="I28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120</v>
      </c>
      <c r="J288" s="89">
        <f>IF(tblDetailHPP[[#This Row],[KODE KOMPONEN]]="","",IF(tblDetailHPP[[#This Row],[STATUS HARGA]]="OK",ROUND(tblDetailHPP[[#This Row],[QTY PAKAI]]*tblDetailHPP[[#This Row],[HARGA PER SATUAN DASAR]],2),""))</f>
        <v>120</v>
      </c>
      <c r="K28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8" s="34">
        <f>IF(tblDetailHPP[[#This Row],[KODE PRODUK]]="",0,IFERROR(INDEX('PENJUALAN (QTY)'!$AH$3:$AH$500,MATCH(tblDetailHPP[[#This Row],[KODE PRODUK]],'PENJUALAN (QTY)'!$A$3:$A$500,0)),0))</f>
        <v>0</v>
      </c>
      <c r="M28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89" spans="1:13">
      <c r="A289" s="34" t="s">
        <v>198</v>
      </c>
      <c r="B289" s="34" t="str">
        <f>IFERROR(INDEX(tbl_Produk[NAMA PRODUK],MATCH(tblDetailHPP[[#This Row],[KODE PRODUK]],tbl_Produk[KODE PRODUK],0)),"")</f>
        <v>MILKSHAKE</v>
      </c>
      <c r="C289" s="34" t="s">
        <v>354</v>
      </c>
      <c r="D289" s="34" t="s">
        <v>158</v>
      </c>
      <c r="E28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8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289" s="88">
        <v>1</v>
      </c>
      <c r="H289" s="34" t="s">
        <v>4</v>
      </c>
      <c r="I28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289" s="89">
        <f>IF(tblDetailHPP[[#This Row],[KODE KOMPONEN]]="","",IF(tblDetailHPP[[#This Row],[STATUS HARGA]]="OK",ROUND(tblDetailHPP[[#This Row],[QTY PAKAI]]*tblDetailHPP[[#This Row],[HARGA PER SATUAN DASAR]],2),""))</f>
        <v>280</v>
      </c>
      <c r="K28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89" s="34">
        <f>IF(tblDetailHPP[[#This Row],[KODE PRODUK]]="",0,IFERROR(INDEX('PENJUALAN (QTY)'!$AH$3:$AH$500,MATCH(tblDetailHPP[[#This Row],[KODE PRODUK]],'PENJUALAN (QTY)'!$A$3:$A$500,0)),0))</f>
        <v>0</v>
      </c>
      <c r="M28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90" spans="1:13">
      <c r="A290" s="34" t="s">
        <v>198</v>
      </c>
      <c r="B290" s="34" t="str">
        <f>IFERROR(INDEX(tbl_Produk[NAMA PRODUK],MATCH(tblDetailHPP[[#This Row],[KODE PRODUK]],tbl_Produk[KODE PRODUK],0)),"")</f>
        <v>MILKSHAKE</v>
      </c>
      <c r="C290" s="34" t="s">
        <v>354</v>
      </c>
      <c r="D290" s="34" t="s">
        <v>169</v>
      </c>
      <c r="E29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9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SEDOTAN</v>
      </c>
      <c r="G290" s="88">
        <v>1</v>
      </c>
      <c r="H290" s="34" t="s">
        <v>4</v>
      </c>
      <c r="I29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36</v>
      </c>
      <c r="J290" s="89">
        <f>IF(tblDetailHPP[[#This Row],[KODE KOMPONEN]]="","",IF(tblDetailHPP[[#This Row],[STATUS HARGA]]="OK",ROUND(tblDetailHPP[[#This Row],[QTY PAKAI]]*tblDetailHPP[[#This Row],[HARGA PER SATUAN DASAR]],2),""))</f>
        <v>36</v>
      </c>
      <c r="K29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0" s="34">
        <f>IF(tblDetailHPP[[#This Row],[KODE PRODUK]]="",0,IFERROR(INDEX('PENJUALAN (QTY)'!$AH$3:$AH$500,MATCH(tblDetailHPP[[#This Row],[KODE PRODUK]],'PENJUALAN (QTY)'!$A$3:$A$500,0)),0))</f>
        <v>0</v>
      </c>
      <c r="M29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91" spans="1:13">
      <c r="A291" s="34" t="s">
        <v>198</v>
      </c>
      <c r="B291" s="34" t="str">
        <f>IFERROR(INDEX(tbl_Produk[NAMA PRODUK],MATCH(tblDetailHPP[[#This Row],[KODE PRODUK]],tbl_Produk[KODE PRODUK],0)),"")</f>
        <v>MILKSHAKE</v>
      </c>
      <c r="C291" s="34" t="s">
        <v>354</v>
      </c>
      <c r="D291" s="34" t="s">
        <v>170</v>
      </c>
      <c r="E29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9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291" s="88">
        <v>1</v>
      </c>
      <c r="H291" s="34" t="s">
        <v>4</v>
      </c>
      <c r="I29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291" s="89">
        <f>IF(tblDetailHPP[[#This Row],[KODE KOMPONEN]]="","",IF(tblDetailHPP[[#This Row],[STATUS HARGA]]="OK",ROUND(tblDetailHPP[[#This Row],[QTY PAKAI]]*tblDetailHPP[[#This Row],[HARGA PER SATUAN DASAR]],2),""))</f>
        <v>129.87</v>
      </c>
      <c r="K29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1" s="34">
        <f>IF(tblDetailHPP[[#This Row],[KODE PRODUK]]="",0,IFERROR(INDEX('PENJUALAN (QTY)'!$AH$3:$AH$500,MATCH(tblDetailHPP[[#This Row],[KODE PRODUK]],'PENJUALAN (QTY)'!$A$3:$A$500,0)),0))</f>
        <v>0</v>
      </c>
      <c r="M29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92" spans="1:13">
      <c r="A292" s="34" t="s">
        <v>198</v>
      </c>
      <c r="B292" s="34" t="str">
        <f>IFERROR(INDEX(tbl_Produk[NAMA PRODUK],MATCH(tblDetailHPP[[#This Row],[KODE PRODUK]],tbl_Produk[KODE PRODUK],0)),"")</f>
        <v>MILKSHAKE</v>
      </c>
      <c r="C292" s="34" t="s">
        <v>354</v>
      </c>
      <c r="D292" s="34" t="s">
        <v>224</v>
      </c>
      <c r="E29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MINUMAN</v>
      </c>
      <c r="F29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SUSU MILKU UHT</v>
      </c>
      <c r="G292" s="88">
        <v>200</v>
      </c>
      <c r="H292" s="34" t="s">
        <v>6</v>
      </c>
      <c r="I29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17.5</v>
      </c>
      <c r="J292" s="89">
        <f>IF(tblDetailHPP[[#This Row],[KODE KOMPONEN]]="","",IF(tblDetailHPP[[#This Row],[STATUS HARGA]]="OK",ROUND(tblDetailHPP[[#This Row],[QTY PAKAI]]*tblDetailHPP[[#This Row],[HARGA PER SATUAN DASAR]],2),""))</f>
        <v>3500</v>
      </c>
      <c r="K29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2" s="34">
        <f>IF(tblDetailHPP[[#This Row],[KODE PRODUK]]="",0,IFERROR(INDEX('PENJUALAN (QTY)'!$AH$3:$AH$500,MATCH(tblDetailHPP[[#This Row],[KODE PRODUK]],'PENJUALAN (QTY)'!$A$3:$A$500,0)),0))</f>
        <v>0</v>
      </c>
      <c r="M29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93" spans="1:13">
      <c r="A293" s="34" t="s">
        <v>199</v>
      </c>
      <c r="B293" s="34" t="str">
        <f>IFERROR(INDEX(tbl_Produk[NAMA PRODUK],MATCH(tblDetailHPP[[#This Row],[KODE PRODUK]],tbl_Produk[KODE PRODUK],0)),"")</f>
        <v>NASI PUTIH</v>
      </c>
      <c r="C293" s="34" t="s">
        <v>354</v>
      </c>
      <c r="D293" s="34" t="s">
        <v>120</v>
      </c>
      <c r="E29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29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BERAS</v>
      </c>
      <c r="G293" s="88">
        <v>76.900000000000006</v>
      </c>
      <c r="H293" s="34" t="s">
        <v>5</v>
      </c>
      <c r="I29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14</v>
      </c>
      <c r="J293" s="89">
        <f>IF(tblDetailHPP[[#This Row],[KODE KOMPONEN]]="","",IF(tblDetailHPP[[#This Row],[STATUS HARGA]]="OK",ROUND(tblDetailHPP[[#This Row],[QTY PAKAI]]*tblDetailHPP[[#This Row],[HARGA PER SATUAN DASAR]],2),""))</f>
        <v>1076.5999999999999</v>
      </c>
      <c r="K29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3" s="34">
        <f>IF(tblDetailHPP[[#This Row],[KODE PRODUK]]="",0,IFERROR(INDEX('PENJUALAN (QTY)'!$AH$3:$AH$500,MATCH(tblDetailHPP[[#This Row],[KODE PRODUK]],'PENJUALAN (QTY)'!$A$3:$A$500,0)),0))</f>
        <v>0</v>
      </c>
      <c r="M29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94" spans="1:13">
      <c r="A294" s="34" t="s">
        <v>199</v>
      </c>
      <c r="B294" s="34" t="str">
        <f>IFERROR(INDEX(tbl_Produk[NAMA PRODUK],MATCH(tblDetailHPP[[#This Row],[KODE PRODUK]],tbl_Produk[KODE PRODUK],0)),"")</f>
        <v>NASI PUTIH</v>
      </c>
      <c r="C294" s="34" t="s">
        <v>354</v>
      </c>
      <c r="D294" s="34" t="s">
        <v>142</v>
      </c>
      <c r="E29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9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294" s="88">
        <v>15</v>
      </c>
      <c r="H294" s="34" t="s">
        <v>222</v>
      </c>
      <c r="I29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294" s="89">
        <f>IF(tblDetailHPP[[#This Row],[KODE KOMPONEN]]="","",IF(tblDetailHPP[[#This Row],[STATUS HARGA]]="OK",ROUND(tblDetailHPP[[#This Row],[QTY PAKAI]]*tblDetailHPP[[#This Row],[HARGA PER SATUAN DASAR]],2),""))</f>
        <v>75</v>
      </c>
      <c r="K29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4" s="34">
        <f>IF(tblDetailHPP[[#This Row],[KODE PRODUK]]="",0,IFERROR(INDEX('PENJUALAN (QTY)'!$AH$3:$AH$500,MATCH(tblDetailHPP[[#This Row],[KODE PRODUK]],'PENJUALAN (QTY)'!$A$3:$A$500,0)),0))</f>
        <v>0</v>
      </c>
      <c r="M29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95" spans="1:13">
      <c r="A295" s="34" t="s">
        <v>199</v>
      </c>
      <c r="B295" s="34" t="str">
        <f>IFERROR(INDEX(tbl_Produk[NAMA PRODUK],MATCH(tblDetailHPP[[#This Row],[KODE PRODUK]],tbl_Produk[KODE PRODUK],0)),"")</f>
        <v>NASI PUTIH</v>
      </c>
      <c r="C295" s="34" t="s">
        <v>354</v>
      </c>
      <c r="D295" s="34" t="s">
        <v>143</v>
      </c>
      <c r="E29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9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295" s="88">
        <v>13</v>
      </c>
      <c r="H295" s="34" t="s">
        <v>5</v>
      </c>
      <c r="I29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295" s="89">
        <f>IF(tblDetailHPP[[#This Row],[KODE KOMPONEN]]="","",IF(tblDetailHPP[[#This Row],[STATUS HARGA]]="OK",ROUND(tblDetailHPP[[#This Row],[QTY PAKAI]]*tblDetailHPP[[#This Row],[HARGA PER SATUAN DASAR]],2),""))</f>
        <v>99.67</v>
      </c>
      <c r="K29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5" s="34">
        <f>IF(tblDetailHPP[[#This Row],[KODE PRODUK]]="",0,IFERROR(INDEX('PENJUALAN (QTY)'!$AH$3:$AH$500,MATCH(tblDetailHPP[[#This Row],[KODE PRODUK]],'PENJUALAN (QTY)'!$A$3:$A$500,0)),0))</f>
        <v>0</v>
      </c>
      <c r="M29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96" spans="1:13">
      <c r="A296" s="34" t="s">
        <v>199</v>
      </c>
      <c r="B296" s="34" t="str">
        <f>IFERROR(INDEX(tbl_Produk[NAMA PRODUK],MATCH(tblDetailHPP[[#This Row],[KODE PRODUK]],tbl_Produk[KODE PRODUK],0)),"")</f>
        <v>NASI PUTIH</v>
      </c>
      <c r="C296" s="34" t="s">
        <v>354</v>
      </c>
      <c r="D296" s="34" t="s">
        <v>156</v>
      </c>
      <c r="E29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9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PAPER RICE</v>
      </c>
      <c r="G296" s="88">
        <v>1</v>
      </c>
      <c r="H296" s="34" t="s">
        <v>76</v>
      </c>
      <c r="I29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296" s="89">
        <f>IF(tblDetailHPP[[#This Row],[KODE KOMPONEN]]="","",IF(tblDetailHPP[[#This Row],[STATUS HARGA]]="OK",ROUND(tblDetailHPP[[#This Row],[QTY PAKAI]]*tblDetailHPP[[#This Row],[HARGA PER SATUAN DASAR]],2),""))</f>
        <v>100</v>
      </c>
      <c r="K29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6" s="34">
        <f>IF(tblDetailHPP[[#This Row],[KODE PRODUK]]="",0,IFERROR(INDEX('PENJUALAN (QTY)'!$AH$3:$AH$500,MATCH(tblDetailHPP[[#This Row],[KODE PRODUK]],'PENJUALAN (QTY)'!$A$3:$A$500,0)),0))</f>
        <v>0</v>
      </c>
      <c r="M29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97" spans="1:13">
      <c r="A297" s="34" t="s">
        <v>199</v>
      </c>
      <c r="B297" s="34" t="str">
        <f>IFERROR(INDEX(tbl_Produk[NAMA PRODUK],MATCH(tblDetailHPP[[#This Row],[KODE PRODUK]],tbl_Produk[KODE PRODUK],0)),"")</f>
        <v>NASI PUTIH</v>
      </c>
      <c r="C297" s="34" t="s">
        <v>354</v>
      </c>
      <c r="D297" s="34" t="s">
        <v>158</v>
      </c>
      <c r="E29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29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297" s="88">
        <v>1</v>
      </c>
      <c r="H297" s="34" t="s">
        <v>4</v>
      </c>
      <c r="I29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297" s="89">
        <f>IF(tblDetailHPP[[#This Row],[KODE KOMPONEN]]="","",IF(tblDetailHPP[[#This Row],[STATUS HARGA]]="OK",ROUND(tblDetailHPP[[#This Row],[QTY PAKAI]]*tblDetailHPP[[#This Row],[HARGA PER SATUAN DASAR]],2),""))</f>
        <v>280</v>
      </c>
      <c r="K29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7" s="34">
        <f>IF(tblDetailHPP[[#This Row],[KODE PRODUK]]="",0,IFERROR(INDEX('PENJUALAN (QTY)'!$AH$3:$AH$500,MATCH(tblDetailHPP[[#This Row],[KODE PRODUK]],'PENJUALAN (QTY)'!$A$3:$A$500,0)),0))</f>
        <v>0</v>
      </c>
      <c r="M29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98" spans="1:13">
      <c r="A298" s="34" t="s">
        <v>200</v>
      </c>
      <c r="B298" s="34" t="str">
        <f>IFERROR(INDEX(tbl_Produk[NAMA PRODUK],MATCH(tblDetailHPP[[#This Row],[KODE PRODUK]],tbl_Produk[KODE PRODUK],0)),"")</f>
        <v>ONION RINGS</v>
      </c>
      <c r="C298" s="34" t="s">
        <v>354</v>
      </c>
      <c r="D298" s="34" t="s">
        <v>117</v>
      </c>
      <c r="E29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29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BOMBAI</v>
      </c>
      <c r="G298" s="88">
        <v>1</v>
      </c>
      <c r="H298" s="34" t="s">
        <v>4</v>
      </c>
      <c r="I29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3000</v>
      </c>
      <c r="J298" s="89">
        <f>IF(tblDetailHPP[[#This Row],[KODE KOMPONEN]]="","",IF(tblDetailHPP[[#This Row],[STATUS HARGA]]="OK",ROUND(tblDetailHPP[[#This Row],[QTY PAKAI]]*tblDetailHPP[[#This Row],[HARGA PER SATUAN DASAR]],2),""))</f>
        <v>3000</v>
      </c>
      <c r="K29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8" s="34">
        <f>IF(tblDetailHPP[[#This Row],[KODE PRODUK]]="",0,IFERROR(INDEX('PENJUALAN (QTY)'!$AH$3:$AH$500,MATCH(tblDetailHPP[[#This Row],[KODE PRODUK]],'PENJUALAN (QTY)'!$A$3:$A$500,0)),0))</f>
        <v>0</v>
      </c>
      <c r="M29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299" spans="1:13">
      <c r="A299" s="34" t="s">
        <v>200</v>
      </c>
      <c r="B299" s="34" t="str">
        <f>IFERROR(INDEX(tbl_Produk[NAMA PRODUK],MATCH(tblDetailHPP[[#This Row],[KODE PRODUK]],tbl_Produk[KODE PRODUK],0)),"")</f>
        <v>ONION RINGS</v>
      </c>
      <c r="C299" s="34" t="s">
        <v>354</v>
      </c>
      <c r="D299" s="34" t="s">
        <v>142</v>
      </c>
      <c r="E29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29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299" s="88">
        <v>15</v>
      </c>
      <c r="H299" s="34" t="s">
        <v>222</v>
      </c>
      <c r="I29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299" s="89">
        <f>IF(tblDetailHPP[[#This Row],[KODE KOMPONEN]]="","",IF(tblDetailHPP[[#This Row],[STATUS HARGA]]="OK",ROUND(tblDetailHPP[[#This Row],[QTY PAKAI]]*tblDetailHPP[[#This Row],[HARGA PER SATUAN DASAR]],2),""))</f>
        <v>75</v>
      </c>
      <c r="K29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299" s="34">
        <f>IF(tblDetailHPP[[#This Row],[KODE PRODUK]]="",0,IFERROR(INDEX('PENJUALAN (QTY)'!$AH$3:$AH$500,MATCH(tblDetailHPP[[#This Row],[KODE PRODUK]],'PENJUALAN (QTY)'!$A$3:$A$500,0)),0))</f>
        <v>0</v>
      </c>
      <c r="M29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00" spans="1:13">
      <c r="A300" s="34" t="s">
        <v>200</v>
      </c>
      <c r="B300" s="34" t="str">
        <f>IFERROR(INDEX(tbl_Produk[NAMA PRODUK],MATCH(tblDetailHPP[[#This Row],[KODE PRODUK]],tbl_Produk[KODE PRODUK],0)),"")</f>
        <v>ONION RINGS</v>
      </c>
      <c r="C300" s="34" t="s">
        <v>354</v>
      </c>
      <c r="D300" s="34" t="s">
        <v>143</v>
      </c>
      <c r="E30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0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300" s="88">
        <v>13</v>
      </c>
      <c r="H300" s="34" t="s">
        <v>5</v>
      </c>
      <c r="I30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300" s="89">
        <f>IF(tblDetailHPP[[#This Row],[KODE KOMPONEN]]="","",IF(tblDetailHPP[[#This Row],[STATUS HARGA]]="OK",ROUND(tblDetailHPP[[#This Row],[QTY PAKAI]]*tblDetailHPP[[#This Row],[HARGA PER SATUAN DASAR]],2),""))</f>
        <v>99.67</v>
      </c>
      <c r="K30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0" s="34">
        <f>IF(tblDetailHPP[[#This Row],[KODE PRODUK]]="",0,IFERROR(INDEX('PENJUALAN (QTY)'!$AH$3:$AH$500,MATCH(tblDetailHPP[[#This Row],[KODE PRODUK]],'PENJUALAN (QTY)'!$A$3:$A$500,0)),0))</f>
        <v>0</v>
      </c>
      <c r="M30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01" spans="1:13">
      <c r="A301" s="34" t="s">
        <v>200</v>
      </c>
      <c r="B301" s="34" t="str">
        <f>IFERROR(INDEX(tbl_Produk[NAMA PRODUK],MATCH(tblDetailHPP[[#This Row],[KODE PRODUK]],tbl_Produk[KODE PRODUK],0)),"")</f>
        <v>ONION RINGS</v>
      </c>
      <c r="C301" s="34" t="s">
        <v>354</v>
      </c>
      <c r="D301" s="34" t="s">
        <v>146</v>
      </c>
      <c r="E30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30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LUNCHBOX S</v>
      </c>
      <c r="G301" s="88">
        <v>1</v>
      </c>
      <c r="H301" s="34" t="s">
        <v>4</v>
      </c>
      <c r="I30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450</v>
      </c>
      <c r="J301" s="89">
        <f>IF(tblDetailHPP[[#This Row],[KODE KOMPONEN]]="","",IF(tblDetailHPP[[#This Row],[STATUS HARGA]]="OK",ROUND(tblDetailHPP[[#This Row],[QTY PAKAI]]*tblDetailHPP[[#This Row],[HARGA PER SATUAN DASAR]],2),""))</f>
        <v>450</v>
      </c>
      <c r="K30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1" s="34">
        <f>IF(tblDetailHPP[[#This Row],[KODE PRODUK]]="",0,IFERROR(INDEX('PENJUALAN (QTY)'!$AH$3:$AH$500,MATCH(tblDetailHPP[[#This Row],[KODE PRODUK]],'PENJUALAN (QTY)'!$A$3:$A$500,0)),0))</f>
        <v>0</v>
      </c>
      <c r="M30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02" spans="1:13">
      <c r="A302" s="34" t="s">
        <v>200</v>
      </c>
      <c r="B302" s="34" t="str">
        <f>IFERROR(INDEX(tbl_Produk[NAMA PRODUK],MATCH(tblDetailHPP[[#This Row],[KODE PRODUK]],tbl_Produk[KODE PRODUK],0)),"")</f>
        <v>ONION RINGS</v>
      </c>
      <c r="C302" s="34" t="s">
        <v>354</v>
      </c>
      <c r="D302" s="34" t="s">
        <v>150</v>
      </c>
      <c r="E30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0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302" s="88">
        <v>20</v>
      </c>
      <c r="H302" s="34" t="s">
        <v>6</v>
      </c>
      <c r="I30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302" s="89">
        <f>IF(tblDetailHPP[[#This Row],[KODE KOMPONEN]]="","",IF(tblDetailHPP[[#This Row],[STATUS HARGA]]="OK",ROUND(tblDetailHPP[[#This Row],[QTY PAKAI]]*tblDetailHPP[[#This Row],[HARGA PER SATUAN DASAR]],2),""))</f>
        <v>460</v>
      </c>
      <c r="K30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2" s="34">
        <f>IF(tblDetailHPP[[#This Row],[KODE PRODUK]]="",0,IFERROR(INDEX('PENJUALAN (QTY)'!$AH$3:$AH$500,MATCH(tblDetailHPP[[#This Row],[KODE PRODUK]],'PENJUALAN (QTY)'!$A$3:$A$500,0)),0))</f>
        <v>0</v>
      </c>
      <c r="M30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03" spans="1:13">
      <c r="A303" s="34" t="s">
        <v>200</v>
      </c>
      <c r="B303" s="34" t="str">
        <f>IFERROR(INDEX(tbl_Produk[NAMA PRODUK],MATCH(tblDetailHPP[[#This Row],[KODE PRODUK]],tbl_Produk[KODE PRODUK],0)),"")</f>
        <v>ONION RINGS</v>
      </c>
      <c r="C303" s="34" t="s">
        <v>354</v>
      </c>
      <c r="D303" s="34" t="s">
        <v>158</v>
      </c>
      <c r="E30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30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303" s="88">
        <v>1</v>
      </c>
      <c r="H303" s="34" t="s">
        <v>4</v>
      </c>
      <c r="I30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303" s="89">
        <f>IF(tblDetailHPP[[#This Row],[KODE KOMPONEN]]="","",IF(tblDetailHPP[[#This Row],[STATUS HARGA]]="OK",ROUND(tblDetailHPP[[#This Row],[QTY PAKAI]]*tblDetailHPP[[#This Row],[HARGA PER SATUAN DASAR]],2),""))</f>
        <v>280</v>
      </c>
      <c r="K30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3" s="34">
        <f>IF(tblDetailHPP[[#This Row],[KODE PRODUK]]="",0,IFERROR(INDEX('PENJUALAN (QTY)'!$AH$3:$AH$500,MATCH(tblDetailHPP[[#This Row],[KODE PRODUK]],'PENJUALAN (QTY)'!$A$3:$A$500,0)),0))</f>
        <v>0</v>
      </c>
      <c r="M30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04" spans="1:13">
      <c r="A304" s="34" t="s">
        <v>200</v>
      </c>
      <c r="B304" s="34" t="str">
        <f>IFERROR(INDEX(tbl_Produk[NAMA PRODUK],MATCH(tblDetailHPP[[#This Row],[KODE PRODUK]],tbl_Produk[KODE PRODUK],0)),"")</f>
        <v>ONION RINGS</v>
      </c>
      <c r="C304" s="34" t="s">
        <v>354</v>
      </c>
      <c r="D304" s="34" t="s">
        <v>164</v>
      </c>
      <c r="E30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0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SACHET SAMBAL</v>
      </c>
      <c r="G304" s="88">
        <v>1</v>
      </c>
      <c r="H304" s="34" t="s">
        <v>4</v>
      </c>
      <c r="I30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208.33333333333334</v>
      </c>
      <c r="J304" s="89">
        <f>IF(tblDetailHPP[[#This Row],[KODE KOMPONEN]]="","",IF(tblDetailHPP[[#This Row],[STATUS HARGA]]="OK",ROUND(tblDetailHPP[[#This Row],[QTY PAKAI]]*tblDetailHPP[[#This Row],[HARGA PER SATUAN DASAR]],2),""))</f>
        <v>208.33</v>
      </c>
      <c r="K30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4" s="34">
        <f>IF(tblDetailHPP[[#This Row],[KODE PRODUK]]="",0,IFERROR(INDEX('PENJUALAN (QTY)'!$AH$3:$AH$500,MATCH(tblDetailHPP[[#This Row],[KODE PRODUK]],'PENJUALAN (QTY)'!$A$3:$A$500,0)),0))</f>
        <v>0</v>
      </c>
      <c r="M30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05" spans="1:13">
      <c r="A305" s="34" t="s">
        <v>200</v>
      </c>
      <c r="B305" s="34" t="str">
        <f>IFERROR(INDEX(tbl_Produk[NAMA PRODUK],MATCH(tblDetailHPP[[#This Row],[KODE PRODUK]],tbl_Produk[KODE PRODUK],0)),"")</f>
        <v>ONION RINGS</v>
      </c>
      <c r="C305" s="34" t="s">
        <v>354</v>
      </c>
      <c r="D305" s="34" t="s">
        <v>165</v>
      </c>
      <c r="E30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0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SACHET TOMAT</v>
      </c>
      <c r="G305" s="88">
        <v>1</v>
      </c>
      <c r="H305" s="34" t="s">
        <v>4</v>
      </c>
      <c r="I30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208.33333333333334</v>
      </c>
      <c r="J305" s="89">
        <f>IF(tblDetailHPP[[#This Row],[KODE KOMPONEN]]="","",IF(tblDetailHPP[[#This Row],[STATUS HARGA]]="OK",ROUND(tblDetailHPP[[#This Row],[QTY PAKAI]]*tblDetailHPP[[#This Row],[HARGA PER SATUAN DASAR]],2),""))</f>
        <v>208.33</v>
      </c>
      <c r="K30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5" s="34">
        <f>IF(tblDetailHPP[[#This Row],[KODE PRODUK]]="",0,IFERROR(INDEX('PENJUALAN (QTY)'!$AH$3:$AH$500,MATCH(tblDetailHPP[[#This Row],[KODE PRODUK]],'PENJUALAN (QTY)'!$A$3:$A$500,0)),0))</f>
        <v>0</v>
      </c>
      <c r="M30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06" spans="1:13">
      <c r="A306" s="34" t="s">
        <v>200</v>
      </c>
      <c r="B306" s="34" t="str">
        <f>IFERROR(INDEX(tbl_Produk[NAMA PRODUK],MATCH(tblDetailHPP[[#This Row],[KODE PRODUK]],tbl_Produk[KODE PRODUK],0)),"")</f>
        <v>ONION RINGS</v>
      </c>
      <c r="C306" s="34" t="s">
        <v>354</v>
      </c>
      <c r="D306" s="34" t="s">
        <v>170</v>
      </c>
      <c r="E30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0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306" s="88">
        <v>1</v>
      </c>
      <c r="H306" s="34" t="s">
        <v>4</v>
      </c>
      <c r="I30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306" s="89">
        <f>IF(tblDetailHPP[[#This Row],[KODE KOMPONEN]]="","",IF(tblDetailHPP[[#This Row],[STATUS HARGA]]="OK",ROUND(tblDetailHPP[[#This Row],[QTY PAKAI]]*tblDetailHPP[[#This Row],[HARGA PER SATUAN DASAR]],2),""))</f>
        <v>129.87</v>
      </c>
      <c r="K30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6" s="34">
        <f>IF(tblDetailHPP[[#This Row],[KODE PRODUK]]="",0,IFERROR(INDEX('PENJUALAN (QTY)'!$AH$3:$AH$500,MATCH(tblDetailHPP[[#This Row],[KODE PRODUK]],'PENJUALAN (QTY)'!$A$3:$A$500,0)),0))</f>
        <v>0</v>
      </c>
      <c r="M30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07" spans="1:13">
      <c r="A307" s="34" t="s">
        <v>200</v>
      </c>
      <c r="B307" s="34" t="str">
        <f>IFERROR(INDEX(tbl_Produk[NAMA PRODUK],MATCH(tblDetailHPP[[#This Row],[KODE PRODUK]],tbl_Produk[KODE PRODUK],0)),"")</f>
        <v>ONION RINGS</v>
      </c>
      <c r="C307" s="34" t="s">
        <v>354</v>
      </c>
      <c r="D307" s="34" t="s">
        <v>174</v>
      </c>
      <c r="E30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0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TEPUNG TERIGU</v>
      </c>
      <c r="G307" s="88">
        <v>125</v>
      </c>
      <c r="H307" s="34" t="s">
        <v>5</v>
      </c>
      <c r="I30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8</v>
      </c>
      <c r="J307" s="89">
        <f>IF(tblDetailHPP[[#This Row],[KODE KOMPONEN]]="","",IF(tblDetailHPP[[#This Row],[STATUS HARGA]]="OK",ROUND(tblDetailHPP[[#This Row],[QTY PAKAI]]*tblDetailHPP[[#This Row],[HARGA PER SATUAN DASAR]],2),""))</f>
        <v>1000</v>
      </c>
      <c r="K30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7" s="34">
        <f>IF(tblDetailHPP[[#This Row],[KODE PRODUK]]="",0,IFERROR(INDEX('PENJUALAN (QTY)'!$AH$3:$AH$500,MATCH(tblDetailHPP[[#This Row],[KODE PRODUK]],'PENJUALAN (QTY)'!$A$3:$A$500,0)),0))</f>
        <v>0</v>
      </c>
      <c r="M30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08" spans="1:13">
      <c r="A308" s="34" t="s">
        <v>201</v>
      </c>
      <c r="B308" s="34" t="str">
        <f>IFERROR(INDEX(tbl_Produk[NAMA PRODUK],MATCH(tblDetailHPP[[#This Row],[KODE PRODUK]],tbl_Produk[KODE PRODUK],0)),"")</f>
        <v>SAMBAL BAWANG</v>
      </c>
      <c r="C308" s="34" t="s">
        <v>354</v>
      </c>
      <c r="D308" s="34" t="s">
        <v>118</v>
      </c>
      <c r="E30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0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MERAH</v>
      </c>
      <c r="G308" s="88">
        <v>1.5</v>
      </c>
      <c r="H308" s="34" t="s">
        <v>5</v>
      </c>
      <c r="I30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308" s="89">
        <f>IF(tblDetailHPP[[#This Row],[KODE KOMPONEN]]="","",IF(tblDetailHPP[[#This Row],[STATUS HARGA]]="OK",ROUND(tblDetailHPP[[#This Row],[QTY PAKAI]]*tblDetailHPP[[#This Row],[HARGA PER SATUAN DASAR]],2),""))</f>
        <v>60</v>
      </c>
      <c r="K30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8" s="34">
        <f>IF(tblDetailHPP[[#This Row],[KODE PRODUK]]="",0,IFERROR(INDEX('PENJUALAN (QTY)'!$AH$3:$AH$500,MATCH(tblDetailHPP[[#This Row],[KODE PRODUK]],'PENJUALAN (QTY)'!$A$3:$A$500,0)),0))</f>
        <v>3</v>
      </c>
      <c r="M30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180</v>
      </c>
    </row>
    <row r="309" spans="1:13">
      <c r="A309" s="34" t="s">
        <v>201</v>
      </c>
      <c r="B309" s="34" t="str">
        <f>IFERROR(INDEX(tbl_Produk[NAMA PRODUK],MATCH(tblDetailHPP[[#This Row],[KODE PRODUK]],tbl_Produk[KODE PRODUK],0)),"")</f>
        <v>SAMBAL BAWANG</v>
      </c>
      <c r="C309" s="34" t="s">
        <v>354</v>
      </c>
      <c r="D309" s="34" t="s">
        <v>119</v>
      </c>
      <c r="E30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0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PUTIH</v>
      </c>
      <c r="G309" s="88">
        <v>1.5</v>
      </c>
      <c r="H309" s="34" t="s">
        <v>5</v>
      </c>
      <c r="I30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309" s="89">
        <f>IF(tblDetailHPP[[#This Row],[KODE KOMPONEN]]="","",IF(tblDetailHPP[[#This Row],[STATUS HARGA]]="OK",ROUND(tblDetailHPP[[#This Row],[QTY PAKAI]]*tblDetailHPP[[#This Row],[HARGA PER SATUAN DASAR]],2),""))</f>
        <v>60</v>
      </c>
      <c r="K30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09" s="34">
        <f>IF(tblDetailHPP[[#This Row],[KODE PRODUK]]="",0,IFERROR(INDEX('PENJUALAN (QTY)'!$AH$3:$AH$500,MATCH(tblDetailHPP[[#This Row],[KODE PRODUK]],'PENJUALAN (QTY)'!$A$3:$A$500,0)),0))</f>
        <v>3</v>
      </c>
      <c r="M30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180</v>
      </c>
    </row>
    <row r="310" spans="1:13">
      <c r="A310" s="34" t="s">
        <v>201</v>
      </c>
      <c r="B310" s="34" t="str">
        <f>IFERROR(INDEX(tbl_Produk[NAMA PRODUK],MATCH(tblDetailHPP[[#This Row],[KODE PRODUK]],tbl_Produk[KODE PRODUK],0)),"")</f>
        <v>SAMBAL BAWANG</v>
      </c>
      <c r="C310" s="34" t="s">
        <v>354</v>
      </c>
      <c r="D310" s="34" t="s">
        <v>125</v>
      </c>
      <c r="E31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1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MERAH BESAR</v>
      </c>
      <c r="G310" s="88">
        <v>15.4</v>
      </c>
      <c r="H310" s="34" t="s">
        <v>5</v>
      </c>
      <c r="I31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310" s="89">
        <f>IF(tblDetailHPP[[#This Row],[KODE KOMPONEN]]="","",IF(tblDetailHPP[[#This Row],[STATUS HARGA]]="OK",ROUND(tblDetailHPP[[#This Row],[QTY PAKAI]]*tblDetailHPP[[#This Row],[HARGA PER SATUAN DASAR]],2),""))</f>
        <v>616</v>
      </c>
      <c r="K31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0" s="34">
        <f>IF(tblDetailHPP[[#This Row],[KODE PRODUK]]="",0,IFERROR(INDEX('PENJUALAN (QTY)'!$AH$3:$AH$500,MATCH(tblDetailHPP[[#This Row],[KODE PRODUK]],'PENJUALAN (QTY)'!$A$3:$A$500,0)),0))</f>
        <v>3</v>
      </c>
      <c r="M31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1848</v>
      </c>
    </row>
    <row r="311" spans="1:13">
      <c r="A311" s="34" t="s">
        <v>201</v>
      </c>
      <c r="B311" s="34" t="str">
        <f>IFERROR(INDEX(tbl_Produk[NAMA PRODUK],MATCH(tblDetailHPP[[#This Row],[KODE PRODUK]],tbl_Produk[KODE PRODUK],0)),"")</f>
        <v>SAMBAL BAWANG</v>
      </c>
      <c r="C311" s="34" t="s">
        <v>354</v>
      </c>
      <c r="D311" s="34" t="s">
        <v>126</v>
      </c>
      <c r="E31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1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RAWIT</v>
      </c>
      <c r="G311" s="88">
        <v>15.4</v>
      </c>
      <c r="H311" s="34" t="s">
        <v>5</v>
      </c>
      <c r="I31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311" s="89">
        <f>IF(tblDetailHPP[[#This Row],[KODE KOMPONEN]]="","",IF(tblDetailHPP[[#This Row],[STATUS HARGA]]="OK",ROUND(tblDetailHPP[[#This Row],[QTY PAKAI]]*tblDetailHPP[[#This Row],[HARGA PER SATUAN DASAR]],2),""))</f>
        <v>924</v>
      </c>
      <c r="K31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1" s="34">
        <f>IF(tblDetailHPP[[#This Row],[KODE PRODUK]]="",0,IFERROR(INDEX('PENJUALAN (QTY)'!$AH$3:$AH$500,MATCH(tblDetailHPP[[#This Row],[KODE PRODUK]],'PENJUALAN (QTY)'!$A$3:$A$500,0)),0))</f>
        <v>3</v>
      </c>
      <c r="M31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2772</v>
      </c>
    </row>
    <row r="312" spans="1:13">
      <c r="A312" s="34" t="s">
        <v>201</v>
      </c>
      <c r="B312" s="34" t="str">
        <f>IFERROR(INDEX(tbl_Produk[NAMA PRODUK],MATCH(tblDetailHPP[[#This Row],[KODE PRODUK]],tbl_Produk[KODE PRODUK],0)),"")</f>
        <v>SAMBAL BAWANG</v>
      </c>
      <c r="C312" s="34" t="s">
        <v>354</v>
      </c>
      <c r="D312" s="34" t="s">
        <v>129</v>
      </c>
      <c r="E31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31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35 ML</v>
      </c>
      <c r="G312" s="88">
        <v>1</v>
      </c>
      <c r="H312" s="34" t="s">
        <v>4</v>
      </c>
      <c r="I31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220</v>
      </c>
      <c r="J312" s="89">
        <f>IF(tblDetailHPP[[#This Row],[KODE KOMPONEN]]="","",IF(tblDetailHPP[[#This Row],[STATUS HARGA]]="OK",ROUND(tblDetailHPP[[#This Row],[QTY PAKAI]]*tblDetailHPP[[#This Row],[HARGA PER SATUAN DASAR]],2),""))</f>
        <v>220</v>
      </c>
      <c r="K31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2" s="34">
        <f>IF(tblDetailHPP[[#This Row],[KODE PRODUK]]="",0,IFERROR(INDEX('PENJUALAN (QTY)'!$AH$3:$AH$500,MATCH(tblDetailHPP[[#This Row],[KODE PRODUK]],'PENJUALAN (QTY)'!$A$3:$A$500,0)),0))</f>
        <v>3</v>
      </c>
      <c r="M31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660</v>
      </c>
    </row>
    <row r="313" spans="1:13">
      <c r="A313" s="34" t="s">
        <v>201</v>
      </c>
      <c r="B313" s="34" t="str">
        <f>IFERROR(INDEX(tbl_Produk[NAMA PRODUK],MATCH(tblDetailHPP[[#This Row],[KODE PRODUK]],tbl_Produk[KODE PRODUK],0)),"")</f>
        <v>SAMBAL BAWANG</v>
      </c>
      <c r="C313" s="34" t="s">
        <v>354</v>
      </c>
      <c r="D313" s="34" t="s">
        <v>143</v>
      </c>
      <c r="E31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1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313" s="88">
        <v>13</v>
      </c>
      <c r="H313" s="34" t="s">
        <v>5</v>
      </c>
      <c r="I31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313" s="89">
        <f>IF(tblDetailHPP[[#This Row],[KODE KOMPONEN]]="","",IF(tblDetailHPP[[#This Row],[STATUS HARGA]]="OK",ROUND(tblDetailHPP[[#This Row],[QTY PAKAI]]*tblDetailHPP[[#This Row],[HARGA PER SATUAN DASAR]],2),""))</f>
        <v>99.67</v>
      </c>
      <c r="K31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3" s="34">
        <f>IF(tblDetailHPP[[#This Row],[KODE PRODUK]]="",0,IFERROR(INDEX('PENJUALAN (QTY)'!$AH$3:$AH$500,MATCH(tblDetailHPP[[#This Row],[KODE PRODUK]],'PENJUALAN (QTY)'!$A$3:$A$500,0)),0))</f>
        <v>3</v>
      </c>
      <c r="M31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299.01</v>
      </c>
    </row>
    <row r="314" spans="1:13">
      <c r="A314" s="34" t="s">
        <v>201</v>
      </c>
      <c r="B314" s="34" t="str">
        <f>IFERROR(INDEX(tbl_Produk[NAMA PRODUK],MATCH(tblDetailHPP[[#This Row],[KODE PRODUK]],tbl_Produk[KODE PRODUK],0)),"")</f>
        <v>SAMBAL BAWANG</v>
      </c>
      <c r="C314" s="34" t="s">
        <v>354</v>
      </c>
      <c r="D314" s="34" t="s">
        <v>150</v>
      </c>
      <c r="E31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1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314" s="88">
        <v>10</v>
      </c>
      <c r="H314" s="34" t="s">
        <v>6</v>
      </c>
      <c r="I31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314" s="89">
        <f>IF(tblDetailHPP[[#This Row],[KODE KOMPONEN]]="","",IF(tblDetailHPP[[#This Row],[STATUS HARGA]]="OK",ROUND(tblDetailHPP[[#This Row],[QTY PAKAI]]*tblDetailHPP[[#This Row],[HARGA PER SATUAN DASAR]],2),""))</f>
        <v>230</v>
      </c>
      <c r="K31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4" s="34">
        <f>IF(tblDetailHPP[[#This Row],[KODE PRODUK]]="",0,IFERROR(INDEX('PENJUALAN (QTY)'!$AH$3:$AH$500,MATCH(tblDetailHPP[[#This Row],[KODE PRODUK]],'PENJUALAN (QTY)'!$A$3:$A$500,0)),0))</f>
        <v>3</v>
      </c>
      <c r="M31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690</v>
      </c>
    </row>
    <row r="315" spans="1:13">
      <c r="A315" s="34" t="s">
        <v>202</v>
      </c>
      <c r="B315" s="34" t="str">
        <f>IFERROR(INDEX(tbl_Produk[NAMA PRODUK],MATCH(tblDetailHPP[[#This Row],[KODE PRODUK]],tbl_Produk[KODE PRODUK],0)),"")</f>
        <v>SAMBAL IJO</v>
      </c>
      <c r="C315" s="34" t="s">
        <v>354</v>
      </c>
      <c r="D315" s="34" t="s">
        <v>118</v>
      </c>
      <c r="E31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1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MERAH</v>
      </c>
      <c r="G315" s="88">
        <v>1.5</v>
      </c>
      <c r="H315" s="34" t="s">
        <v>5</v>
      </c>
      <c r="I31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315" s="89">
        <f>IF(tblDetailHPP[[#This Row],[KODE KOMPONEN]]="","",IF(tblDetailHPP[[#This Row],[STATUS HARGA]]="OK",ROUND(tblDetailHPP[[#This Row],[QTY PAKAI]]*tblDetailHPP[[#This Row],[HARGA PER SATUAN DASAR]],2),""))</f>
        <v>60</v>
      </c>
      <c r="K31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5" s="34">
        <f>IF(tblDetailHPP[[#This Row],[KODE PRODUK]]="",0,IFERROR(INDEX('PENJUALAN (QTY)'!$AH$3:$AH$500,MATCH(tblDetailHPP[[#This Row],[KODE PRODUK]],'PENJUALAN (QTY)'!$A$3:$A$500,0)),0))</f>
        <v>0</v>
      </c>
      <c r="M31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16" spans="1:13">
      <c r="A316" s="34" t="s">
        <v>202</v>
      </c>
      <c r="B316" s="34" t="str">
        <f>IFERROR(INDEX(tbl_Produk[NAMA PRODUK],MATCH(tblDetailHPP[[#This Row],[KODE PRODUK]],tbl_Produk[KODE PRODUK],0)),"")</f>
        <v>SAMBAL IJO</v>
      </c>
      <c r="C316" s="34" t="s">
        <v>354</v>
      </c>
      <c r="D316" s="34" t="s">
        <v>119</v>
      </c>
      <c r="E31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1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PUTIH</v>
      </c>
      <c r="G316" s="88">
        <v>1.5</v>
      </c>
      <c r="H316" s="34" t="s">
        <v>5</v>
      </c>
      <c r="I31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316" s="89">
        <f>IF(tblDetailHPP[[#This Row],[KODE KOMPONEN]]="","",IF(tblDetailHPP[[#This Row],[STATUS HARGA]]="OK",ROUND(tblDetailHPP[[#This Row],[QTY PAKAI]]*tblDetailHPP[[#This Row],[HARGA PER SATUAN DASAR]],2),""))</f>
        <v>60</v>
      </c>
      <c r="K31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6" s="34">
        <f>IF(tblDetailHPP[[#This Row],[KODE PRODUK]]="",0,IFERROR(INDEX('PENJUALAN (QTY)'!$AH$3:$AH$500,MATCH(tblDetailHPP[[#This Row],[KODE PRODUK]],'PENJUALAN (QTY)'!$A$3:$A$500,0)),0))</f>
        <v>0</v>
      </c>
      <c r="M31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17" spans="1:13">
      <c r="A317" s="34" t="s">
        <v>202</v>
      </c>
      <c r="B317" s="34" t="str">
        <f>IFERROR(INDEX(tbl_Produk[NAMA PRODUK],MATCH(tblDetailHPP[[#This Row],[KODE PRODUK]],tbl_Produk[KODE PRODUK],0)),"")</f>
        <v>SAMBAL IJO</v>
      </c>
      <c r="C317" s="34" t="s">
        <v>354</v>
      </c>
      <c r="D317" s="34" t="s">
        <v>122</v>
      </c>
      <c r="E31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1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HIJAU BESAR</v>
      </c>
      <c r="G317" s="88">
        <v>28.6</v>
      </c>
      <c r="H317" s="34" t="s">
        <v>5</v>
      </c>
      <c r="I31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</v>
      </c>
      <c r="J317" s="89">
        <f>IF(tblDetailHPP[[#This Row],[KODE KOMPONEN]]="","",IF(tblDetailHPP[[#This Row],[STATUS HARGA]]="OK",ROUND(tblDetailHPP[[#This Row],[QTY PAKAI]]*tblDetailHPP[[#This Row],[HARGA PER SATUAN DASAR]],2),""))</f>
        <v>858</v>
      </c>
      <c r="K31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7" s="34">
        <f>IF(tblDetailHPP[[#This Row],[KODE PRODUK]]="",0,IFERROR(INDEX('PENJUALAN (QTY)'!$AH$3:$AH$500,MATCH(tblDetailHPP[[#This Row],[KODE PRODUK]],'PENJUALAN (QTY)'!$A$3:$A$500,0)),0))</f>
        <v>0</v>
      </c>
      <c r="M31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18" spans="1:13">
      <c r="A318" s="34" t="s">
        <v>202</v>
      </c>
      <c r="B318" s="34" t="str">
        <f>IFERROR(INDEX(tbl_Produk[NAMA PRODUK],MATCH(tblDetailHPP[[#This Row],[KODE PRODUK]],tbl_Produk[KODE PRODUK],0)),"")</f>
        <v>SAMBAL IJO</v>
      </c>
      <c r="C318" s="34" t="s">
        <v>354</v>
      </c>
      <c r="D318" s="34" t="s">
        <v>124</v>
      </c>
      <c r="E31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1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LALAP</v>
      </c>
      <c r="G318" s="88">
        <v>15.4</v>
      </c>
      <c r="H318" s="34" t="s">
        <v>5</v>
      </c>
      <c r="I31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318" s="89">
        <f>IF(tblDetailHPP[[#This Row],[KODE KOMPONEN]]="","",IF(tblDetailHPP[[#This Row],[STATUS HARGA]]="OK",ROUND(tblDetailHPP[[#This Row],[QTY PAKAI]]*tblDetailHPP[[#This Row],[HARGA PER SATUAN DASAR]],2),""))</f>
        <v>616</v>
      </c>
      <c r="K31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8" s="34">
        <f>IF(tblDetailHPP[[#This Row],[KODE PRODUK]]="",0,IFERROR(INDEX('PENJUALAN (QTY)'!$AH$3:$AH$500,MATCH(tblDetailHPP[[#This Row],[KODE PRODUK]],'PENJUALAN (QTY)'!$A$3:$A$500,0)),0))</f>
        <v>0</v>
      </c>
      <c r="M31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19" spans="1:13">
      <c r="A319" s="34" t="s">
        <v>202</v>
      </c>
      <c r="B319" s="34" t="str">
        <f>IFERROR(INDEX(tbl_Produk[NAMA PRODUK],MATCH(tblDetailHPP[[#This Row],[KODE PRODUK]],tbl_Produk[KODE PRODUK],0)),"")</f>
        <v>SAMBAL IJO</v>
      </c>
      <c r="C319" s="34" t="s">
        <v>354</v>
      </c>
      <c r="D319" s="34" t="s">
        <v>129</v>
      </c>
      <c r="E31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31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35 ML</v>
      </c>
      <c r="G319" s="88">
        <v>1</v>
      </c>
      <c r="H319" s="34" t="s">
        <v>4</v>
      </c>
      <c r="I31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220</v>
      </c>
      <c r="J319" s="89">
        <f>IF(tblDetailHPP[[#This Row],[KODE KOMPONEN]]="","",IF(tblDetailHPP[[#This Row],[STATUS HARGA]]="OK",ROUND(tblDetailHPP[[#This Row],[QTY PAKAI]]*tblDetailHPP[[#This Row],[HARGA PER SATUAN DASAR]],2),""))</f>
        <v>220</v>
      </c>
      <c r="K31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19" s="34">
        <f>IF(tblDetailHPP[[#This Row],[KODE PRODUK]]="",0,IFERROR(INDEX('PENJUALAN (QTY)'!$AH$3:$AH$500,MATCH(tblDetailHPP[[#This Row],[KODE PRODUK]],'PENJUALAN (QTY)'!$A$3:$A$500,0)),0))</f>
        <v>0</v>
      </c>
      <c r="M31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20" spans="1:13">
      <c r="A320" s="34" t="s">
        <v>202</v>
      </c>
      <c r="B320" s="34" t="str">
        <f>IFERROR(INDEX(tbl_Produk[NAMA PRODUK],MATCH(tblDetailHPP[[#This Row],[KODE PRODUK]],tbl_Produk[KODE PRODUK],0)),"")</f>
        <v>SAMBAL IJO</v>
      </c>
      <c r="C320" s="34" t="s">
        <v>354</v>
      </c>
      <c r="D320" s="34" t="s">
        <v>143</v>
      </c>
      <c r="E32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2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320" s="88">
        <v>13</v>
      </c>
      <c r="H320" s="34" t="s">
        <v>5</v>
      </c>
      <c r="I32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320" s="89">
        <f>IF(tblDetailHPP[[#This Row],[KODE KOMPONEN]]="","",IF(tblDetailHPP[[#This Row],[STATUS HARGA]]="OK",ROUND(tblDetailHPP[[#This Row],[QTY PAKAI]]*tblDetailHPP[[#This Row],[HARGA PER SATUAN DASAR]],2),""))</f>
        <v>99.67</v>
      </c>
      <c r="K32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0" s="34">
        <f>IF(tblDetailHPP[[#This Row],[KODE PRODUK]]="",0,IFERROR(INDEX('PENJUALAN (QTY)'!$AH$3:$AH$500,MATCH(tblDetailHPP[[#This Row],[KODE PRODUK]],'PENJUALAN (QTY)'!$A$3:$A$500,0)),0))</f>
        <v>0</v>
      </c>
      <c r="M32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21" spans="1:13">
      <c r="A321" s="34" t="s">
        <v>202</v>
      </c>
      <c r="B321" s="34" t="str">
        <f>IFERROR(INDEX(tbl_Produk[NAMA PRODUK],MATCH(tblDetailHPP[[#This Row],[KODE PRODUK]],tbl_Produk[KODE PRODUK],0)),"")</f>
        <v>SAMBAL IJO</v>
      </c>
      <c r="C321" s="34" t="s">
        <v>354</v>
      </c>
      <c r="D321" s="34" t="s">
        <v>150</v>
      </c>
      <c r="E32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2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321" s="88">
        <v>10</v>
      </c>
      <c r="H321" s="34" t="s">
        <v>6</v>
      </c>
      <c r="I32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321" s="89">
        <f>IF(tblDetailHPP[[#This Row],[KODE KOMPONEN]]="","",IF(tblDetailHPP[[#This Row],[STATUS HARGA]]="OK",ROUND(tblDetailHPP[[#This Row],[QTY PAKAI]]*tblDetailHPP[[#This Row],[HARGA PER SATUAN DASAR]],2),""))</f>
        <v>230</v>
      </c>
      <c r="K32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1" s="34">
        <f>IF(tblDetailHPP[[#This Row],[KODE PRODUK]]="",0,IFERROR(INDEX('PENJUALAN (QTY)'!$AH$3:$AH$500,MATCH(tblDetailHPP[[#This Row],[KODE PRODUK]],'PENJUALAN (QTY)'!$A$3:$A$500,0)),0))</f>
        <v>0</v>
      </c>
      <c r="M32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22" spans="1:13">
      <c r="A322" s="34" t="s">
        <v>203</v>
      </c>
      <c r="B322" s="34" t="str">
        <f>IFERROR(INDEX(tbl_Produk[NAMA PRODUK],MATCH(tblDetailHPP[[#This Row],[KODE PRODUK]],tbl_Produk[KODE PRODUK],0)),"")</f>
        <v>SAMBAL MATAH</v>
      </c>
      <c r="C322" s="34" t="s">
        <v>354</v>
      </c>
      <c r="D322" s="34" t="s">
        <v>118</v>
      </c>
      <c r="E32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2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MERAH</v>
      </c>
      <c r="G322" s="88">
        <v>1.5</v>
      </c>
      <c r="H322" s="34" t="s">
        <v>5</v>
      </c>
      <c r="I32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322" s="89">
        <f>IF(tblDetailHPP[[#This Row],[KODE KOMPONEN]]="","",IF(tblDetailHPP[[#This Row],[STATUS HARGA]]="OK",ROUND(tblDetailHPP[[#This Row],[QTY PAKAI]]*tblDetailHPP[[#This Row],[HARGA PER SATUAN DASAR]],2),""))</f>
        <v>60</v>
      </c>
      <c r="K32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2" s="34">
        <f>IF(tblDetailHPP[[#This Row],[KODE PRODUK]]="",0,IFERROR(INDEX('PENJUALAN (QTY)'!$AH$3:$AH$500,MATCH(tblDetailHPP[[#This Row],[KODE PRODUK]],'PENJUALAN (QTY)'!$A$3:$A$500,0)),0))</f>
        <v>0</v>
      </c>
      <c r="M32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23" spans="1:13">
      <c r="A323" s="34" t="s">
        <v>203</v>
      </c>
      <c r="B323" s="34" t="str">
        <f>IFERROR(INDEX(tbl_Produk[NAMA PRODUK],MATCH(tblDetailHPP[[#This Row],[KODE PRODUK]],tbl_Produk[KODE PRODUK],0)),"")</f>
        <v>SAMBAL MATAH</v>
      </c>
      <c r="C323" s="34" t="s">
        <v>354</v>
      </c>
      <c r="D323" s="34" t="s">
        <v>126</v>
      </c>
      <c r="E32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2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RAWIT</v>
      </c>
      <c r="G323" s="88">
        <v>15.4</v>
      </c>
      <c r="H323" s="34" t="s">
        <v>5</v>
      </c>
      <c r="I32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323" s="89">
        <f>IF(tblDetailHPP[[#This Row],[KODE KOMPONEN]]="","",IF(tblDetailHPP[[#This Row],[STATUS HARGA]]="OK",ROUND(tblDetailHPP[[#This Row],[QTY PAKAI]]*tblDetailHPP[[#This Row],[HARGA PER SATUAN DASAR]],2),""))</f>
        <v>924</v>
      </c>
      <c r="K32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3" s="34">
        <f>IF(tblDetailHPP[[#This Row],[KODE PRODUK]]="",0,IFERROR(INDEX('PENJUALAN (QTY)'!$AH$3:$AH$500,MATCH(tblDetailHPP[[#This Row],[KODE PRODUK]],'PENJUALAN (QTY)'!$A$3:$A$500,0)),0))</f>
        <v>0</v>
      </c>
      <c r="M32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24" spans="1:13">
      <c r="A324" s="34" t="s">
        <v>203</v>
      </c>
      <c r="B324" s="34" t="str">
        <f>IFERROR(INDEX(tbl_Produk[NAMA PRODUK],MATCH(tblDetailHPP[[#This Row],[KODE PRODUK]],tbl_Produk[KODE PRODUK],0)),"")</f>
        <v>SAMBAL MATAH</v>
      </c>
      <c r="C324" s="34" t="s">
        <v>354</v>
      </c>
      <c r="D324" s="34" t="s">
        <v>130</v>
      </c>
      <c r="E32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32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60 ML</v>
      </c>
      <c r="G324" s="88">
        <v>1</v>
      </c>
      <c r="H324" s="34" t="s">
        <v>4</v>
      </c>
      <c r="I32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</v>
      </c>
      <c r="J324" s="89">
        <f>IF(tblDetailHPP[[#This Row],[KODE KOMPONEN]]="","",IF(tblDetailHPP[[#This Row],[STATUS HARGA]]="OK",ROUND(tblDetailHPP[[#This Row],[QTY PAKAI]]*tblDetailHPP[[#This Row],[HARGA PER SATUAN DASAR]],2),""))</f>
        <v>300</v>
      </c>
      <c r="K32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4" s="34">
        <f>IF(tblDetailHPP[[#This Row],[KODE PRODUK]]="",0,IFERROR(INDEX('PENJUALAN (QTY)'!$AH$3:$AH$500,MATCH(tblDetailHPP[[#This Row],[KODE PRODUK]],'PENJUALAN (QTY)'!$A$3:$A$500,0)),0))</f>
        <v>0</v>
      </c>
      <c r="M32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25" spans="1:13">
      <c r="A325" s="34" t="s">
        <v>203</v>
      </c>
      <c r="B325" s="34" t="str">
        <f>IFERROR(INDEX(tbl_Produk[NAMA PRODUK],MATCH(tblDetailHPP[[#This Row],[KODE PRODUK]],tbl_Produk[KODE PRODUK],0)),"")</f>
        <v>SAMBAL MATAH</v>
      </c>
      <c r="C325" s="34" t="s">
        <v>354</v>
      </c>
      <c r="D325" s="34" t="s">
        <v>220</v>
      </c>
      <c r="E32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2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DAUN JERUK</v>
      </c>
      <c r="G325" s="88">
        <v>1</v>
      </c>
      <c r="H325" s="34" t="s">
        <v>110</v>
      </c>
      <c r="I32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325" s="89">
        <f>IF(tblDetailHPP[[#This Row],[KODE KOMPONEN]]="","",IF(tblDetailHPP[[#This Row],[STATUS HARGA]]="OK",ROUND(tblDetailHPP[[#This Row],[QTY PAKAI]]*tblDetailHPP[[#This Row],[HARGA PER SATUAN DASAR]],2),""))</f>
        <v>40</v>
      </c>
      <c r="K32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5" s="34">
        <f>IF(tblDetailHPP[[#This Row],[KODE PRODUK]]="",0,IFERROR(INDEX('PENJUALAN (QTY)'!$AH$3:$AH$500,MATCH(tblDetailHPP[[#This Row],[KODE PRODUK]],'PENJUALAN (QTY)'!$A$3:$A$500,0)),0))</f>
        <v>0</v>
      </c>
      <c r="M32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26" spans="1:13">
      <c r="A326" s="34" t="s">
        <v>203</v>
      </c>
      <c r="B326" s="34" t="str">
        <f>IFERROR(INDEX(tbl_Produk[NAMA PRODUK],MATCH(tblDetailHPP[[#This Row],[KODE PRODUK]],tbl_Produk[KODE PRODUK],0)),"")</f>
        <v>SAMBAL MATAH</v>
      </c>
      <c r="C326" s="34" t="s">
        <v>354</v>
      </c>
      <c r="D326" s="34" t="s">
        <v>143</v>
      </c>
      <c r="E32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2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326" s="88">
        <v>13</v>
      </c>
      <c r="H326" s="34" t="s">
        <v>5</v>
      </c>
      <c r="I32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326" s="89">
        <f>IF(tblDetailHPP[[#This Row],[KODE KOMPONEN]]="","",IF(tblDetailHPP[[#This Row],[STATUS HARGA]]="OK",ROUND(tblDetailHPP[[#This Row],[QTY PAKAI]]*tblDetailHPP[[#This Row],[HARGA PER SATUAN DASAR]],2),""))</f>
        <v>99.67</v>
      </c>
      <c r="K32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6" s="34">
        <f>IF(tblDetailHPP[[#This Row],[KODE PRODUK]]="",0,IFERROR(INDEX('PENJUALAN (QTY)'!$AH$3:$AH$500,MATCH(tblDetailHPP[[#This Row],[KODE PRODUK]],'PENJUALAN (QTY)'!$A$3:$A$500,0)),0))</f>
        <v>0</v>
      </c>
      <c r="M32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27" spans="1:13">
      <c r="A327" s="34" t="s">
        <v>203</v>
      </c>
      <c r="B327" s="34" t="str">
        <f>IFERROR(INDEX(tbl_Produk[NAMA PRODUK],MATCH(tblDetailHPP[[#This Row],[KODE PRODUK]],tbl_Produk[KODE PRODUK],0)),"")</f>
        <v>SAMBAL MATAH</v>
      </c>
      <c r="C327" s="34" t="s">
        <v>354</v>
      </c>
      <c r="D327" s="34" t="s">
        <v>150</v>
      </c>
      <c r="E32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2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327" s="88">
        <v>10</v>
      </c>
      <c r="H327" s="34" t="s">
        <v>6</v>
      </c>
      <c r="I32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327" s="89">
        <f>IF(tblDetailHPP[[#This Row],[KODE KOMPONEN]]="","",IF(tblDetailHPP[[#This Row],[STATUS HARGA]]="OK",ROUND(tblDetailHPP[[#This Row],[QTY PAKAI]]*tblDetailHPP[[#This Row],[HARGA PER SATUAN DASAR]],2),""))</f>
        <v>230</v>
      </c>
      <c r="K32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7" s="34">
        <f>IF(tblDetailHPP[[#This Row],[KODE PRODUK]]="",0,IFERROR(INDEX('PENJUALAN (QTY)'!$AH$3:$AH$500,MATCH(tblDetailHPP[[#This Row],[KODE PRODUK]],'PENJUALAN (QTY)'!$A$3:$A$500,0)),0))</f>
        <v>0</v>
      </c>
      <c r="M32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28" spans="1:13">
      <c r="A328" s="34" t="s">
        <v>203</v>
      </c>
      <c r="B328" s="34" t="str">
        <f>IFERROR(INDEX(tbl_Produk[NAMA PRODUK],MATCH(tblDetailHPP[[#This Row],[KODE PRODUK]],tbl_Produk[KODE PRODUK],0)),"")</f>
        <v>SAMBAL MATAH</v>
      </c>
      <c r="C328" s="34" t="s">
        <v>354</v>
      </c>
      <c r="D328" s="34" t="s">
        <v>218</v>
      </c>
      <c r="E32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2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SEREH</v>
      </c>
      <c r="G328" s="88">
        <v>1</v>
      </c>
      <c r="H328" s="34" t="s">
        <v>110</v>
      </c>
      <c r="I32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250</v>
      </c>
      <c r="J328" s="89">
        <f>IF(tblDetailHPP[[#This Row],[KODE KOMPONEN]]="","",IF(tblDetailHPP[[#This Row],[STATUS HARGA]]="OK",ROUND(tblDetailHPP[[#This Row],[QTY PAKAI]]*tblDetailHPP[[#This Row],[HARGA PER SATUAN DASAR]],2),""))</f>
        <v>250</v>
      </c>
      <c r="K32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8" s="34">
        <f>IF(tblDetailHPP[[#This Row],[KODE PRODUK]]="",0,IFERROR(INDEX('PENJUALAN (QTY)'!$AH$3:$AH$500,MATCH(tblDetailHPP[[#This Row],[KODE PRODUK]],'PENJUALAN (QTY)'!$A$3:$A$500,0)),0))</f>
        <v>0</v>
      </c>
      <c r="M32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29" spans="1:13">
      <c r="A329" s="34" t="s">
        <v>204</v>
      </c>
      <c r="B329" s="34" t="str">
        <f>IFERROR(INDEX(tbl_Produk[NAMA PRODUK],MATCH(tblDetailHPP[[#This Row],[KODE PRODUK]],tbl_Produk[KODE PRODUK],0)),"")</f>
        <v>SAUS BBQ</v>
      </c>
      <c r="C329" s="34" t="s">
        <v>354</v>
      </c>
      <c r="D329" s="34" t="s">
        <v>119</v>
      </c>
      <c r="E32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2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PUTIH</v>
      </c>
      <c r="G329" s="88">
        <v>1.5</v>
      </c>
      <c r="H329" s="34" t="s">
        <v>5</v>
      </c>
      <c r="I32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329" s="89">
        <f>IF(tblDetailHPP[[#This Row],[KODE KOMPONEN]]="","",IF(tblDetailHPP[[#This Row],[STATUS HARGA]]="OK",ROUND(tblDetailHPP[[#This Row],[QTY PAKAI]]*tblDetailHPP[[#This Row],[HARGA PER SATUAN DASAR]],2),""))</f>
        <v>60</v>
      </c>
      <c r="K32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29" s="34">
        <f>IF(tblDetailHPP[[#This Row],[KODE PRODUK]]="",0,IFERROR(INDEX('PENJUALAN (QTY)'!$AH$3:$AH$500,MATCH(tblDetailHPP[[#This Row],[KODE PRODUK]],'PENJUALAN (QTY)'!$A$3:$A$500,0)),0))</f>
        <v>0</v>
      </c>
      <c r="M32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30" spans="1:13">
      <c r="A330" s="34" t="s">
        <v>204</v>
      </c>
      <c r="B330" s="34" t="str">
        <f>IFERROR(INDEX(tbl_Produk[NAMA PRODUK],MATCH(tblDetailHPP[[#This Row],[KODE PRODUK]],tbl_Produk[KODE PRODUK],0)),"")</f>
        <v>SAUS BBQ</v>
      </c>
      <c r="C330" s="34" t="s">
        <v>354</v>
      </c>
      <c r="D330" s="34" t="s">
        <v>123</v>
      </c>
      <c r="E33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3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KERING</v>
      </c>
      <c r="G330" s="88">
        <v>1.7</v>
      </c>
      <c r="H330" s="34" t="s">
        <v>5</v>
      </c>
      <c r="I33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330" s="89">
        <f>IF(tblDetailHPP[[#This Row],[KODE KOMPONEN]]="","",IF(tblDetailHPP[[#This Row],[STATUS HARGA]]="OK",ROUND(tblDetailHPP[[#This Row],[QTY PAKAI]]*tblDetailHPP[[#This Row],[HARGA PER SATUAN DASAR]],2),""))</f>
        <v>170</v>
      </c>
      <c r="K33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0" s="34">
        <f>IF(tblDetailHPP[[#This Row],[KODE PRODUK]]="",0,IFERROR(INDEX('PENJUALAN (QTY)'!$AH$3:$AH$500,MATCH(tblDetailHPP[[#This Row],[KODE PRODUK]],'PENJUALAN (QTY)'!$A$3:$A$500,0)),0))</f>
        <v>0</v>
      </c>
      <c r="M33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31" spans="1:13">
      <c r="A331" s="34" t="s">
        <v>204</v>
      </c>
      <c r="B331" s="34" t="str">
        <f>IFERROR(INDEX(tbl_Produk[NAMA PRODUK],MATCH(tblDetailHPP[[#This Row],[KODE PRODUK]],tbl_Produk[KODE PRODUK],0)),"")</f>
        <v>SAUS BBQ</v>
      </c>
      <c r="C331" s="34" t="s">
        <v>354</v>
      </c>
      <c r="D331" s="34" t="s">
        <v>130</v>
      </c>
      <c r="E33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33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60 ML</v>
      </c>
      <c r="G331" s="88">
        <v>1</v>
      </c>
      <c r="H331" s="34" t="s">
        <v>4</v>
      </c>
      <c r="I33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</v>
      </c>
      <c r="J331" s="89">
        <f>IF(tblDetailHPP[[#This Row],[KODE KOMPONEN]]="","",IF(tblDetailHPP[[#This Row],[STATUS HARGA]]="OK",ROUND(tblDetailHPP[[#This Row],[QTY PAKAI]]*tblDetailHPP[[#This Row],[HARGA PER SATUAN DASAR]],2),""))</f>
        <v>300</v>
      </c>
      <c r="K33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1" s="34">
        <f>IF(tblDetailHPP[[#This Row],[KODE PRODUK]]="",0,IFERROR(INDEX('PENJUALAN (QTY)'!$AH$3:$AH$500,MATCH(tblDetailHPP[[#This Row],[KODE PRODUK]],'PENJUALAN (QTY)'!$A$3:$A$500,0)),0))</f>
        <v>0</v>
      </c>
      <c r="M33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32" spans="1:13">
      <c r="A332" s="34" t="s">
        <v>204</v>
      </c>
      <c r="B332" s="34" t="str">
        <f>IFERROR(INDEX(tbl_Produk[NAMA PRODUK],MATCH(tblDetailHPP[[#This Row],[KODE PRODUK]],tbl_Produk[KODE PRODUK],0)),"")</f>
        <v>SAUS BBQ</v>
      </c>
      <c r="C332" s="34" t="s">
        <v>354</v>
      </c>
      <c r="D332" s="34" t="s">
        <v>135</v>
      </c>
      <c r="E33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3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GULA MERAH</v>
      </c>
      <c r="G332" s="88">
        <v>3.6</v>
      </c>
      <c r="H332" s="34" t="s">
        <v>5</v>
      </c>
      <c r="I33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</v>
      </c>
      <c r="J332" s="89">
        <f>IF(tblDetailHPP[[#This Row],[KODE KOMPONEN]]="","",IF(tblDetailHPP[[#This Row],[STATUS HARGA]]="OK",ROUND(tblDetailHPP[[#This Row],[QTY PAKAI]]*tblDetailHPP[[#This Row],[HARGA PER SATUAN DASAR]],2),""))</f>
        <v>86.4</v>
      </c>
      <c r="K33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2" s="34">
        <f>IF(tblDetailHPP[[#This Row],[KODE PRODUK]]="",0,IFERROR(INDEX('PENJUALAN (QTY)'!$AH$3:$AH$500,MATCH(tblDetailHPP[[#This Row],[KODE PRODUK]],'PENJUALAN (QTY)'!$A$3:$A$500,0)),0))</f>
        <v>0</v>
      </c>
      <c r="M33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33" spans="1:13">
      <c r="A333" s="34" t="s">
        <v>204</v>
      </c>
      <c r="B333" s="34" t="str">
        <f>IFERROR(INDEX(tbl_Produk[NAMA PRODUK],MATCH(tblDetailHPP[[#This Row],[KODE PRODUK]],tbl_Produk[KODE PRODUK],0)),"")</f>
        <v>SAUS BBQ</v>
      </c>
      <c r="C333" s="34" t="s">
        <v>354</v>
      </c>
      <c r="D333" s="34" t="s">
        <v>143</v>
      </c>
      <c r="E33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3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333" s="88">
        <v>13</v>
      </c>
      <c r="H333" s="34" t="s">
        <v>5</v>
      </c>
      <c r="I33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333" s="89">
        <f>IF(tblDetailHPP[[#This Row],[KODE KOMPONEN]]="","",IF(tblDetailHPP[[#This Row],[STATUS HARGA]]="OK",ROUND(tblDetailHPP[[#This Row],[QTY PAKAI]]*tblDetailHPP[[#This Row],[HARGA PER SATUAN DASAR]],2),""))</f>
        <v>99.67</v>
      </c>
      <c r="K33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3" s="34">
        <f>IF(tblDetailHPP[[#This Row],[KODE PRODUK]]="",0,IFERROR(INDEX('PENJUALAN (QTY)'!$AH$3:$AH$500,MATCH(tblDetailHPP[[#This Row],[KODE PRODUK]],'PENJUALAN (QTY)'!$A$3:$A$500,0)),0))</f>
        <v>0</v>
      </c>
      <c r="M33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34" spans="1:13">
      <c r="A334" s="34" t="s">
        <v>204</v>
      </c>
      <c r="B334" s="34" t="str">
        <f>IFERROR(INDEX(tbl_Produk[NAMA PRODUK],MATCH(tblDetailHPP[[#This Row],[KODE PRODUK]],tbl_Produk[KODE PRODUK],0)),"")</f>
        <v>SAUS BBQ</v>
      </c>
      <c r="C334" s="34" t="s">
        <v>354</v>
      </c>
      <c r="D334" s="34" t="s">
        <v>152</v>
      </c>
      <c r="E33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3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NANAS</v>
      </c>
      <c r="G334" s="88">
        <v>1</v>
      </c>
      <c r="H334" s="34" t="s">
        <v>110</v>
      </c>
      <c r="I33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142.85714285714286</v>
      </c>
      <c r="J334" s="89">
        <f>IF(tblDetailHPP[[#This Row],[KODE KOMPONEN]]="","",IF(tblDetailHPP[[#This Row],[STATUS HARGA]]="OK",ROUND(tblDetailHPP[[#This Row],[QTY PAKAI]]*tblDetailHPP[[#This Row],[HARGA PER SATUAN DASAR]],2),""))</f>
        <v>142.86000000000001</v>
      </c>
      <c r="K33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4" s="34">
        <f>IF(tblDetailHPP[[#This Row],[KODE PRODUK]]="",0,IFERROR(INDEX('PENJUALAN (QTY)'!$AH$3:$AH$500,MATCH(tblDetailHPP[[#This Row],[KODE PRODUK]],'PENJUALAN (QTY)'!$A$3:$A$500,0)),0))</f>
        <v>0</v>
      </c>
      <c r="M33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35" spans="1:13">
      <c r="A335" s="34" t="s">
        <v>204</v>
      </c>
      <c r="B335" s="34" t="str">
        <f>IFERROR(INDEX(tbl_Produk[NAMA PRODUK],MATCH(tblDetailHPP[[#This Row],[KODE PRODUK]],tbl_Produk[KODE PRODUK],0)),"")</f>
        <v>SAUS BBQ</v>
      </c>
      <c r="C335" s="34" t="s">
        <v>354</v>
      </c>
      <c r="D335" s="34" t="s">
        <v>163</v>
      </c>
      <c r="E33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3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PASTA BBQ</v>
      </c>
      <c r="G335" s="88">
        <v>14.3</v>
      </c>
      <c r="H335" s="34" t="s">
        <v>6</v>
      </c>
      <c r="I33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31</v>
      </c>
      <c r="J335" s="89">
        <f>IF(tblDetailHPP[[#This Row],[KODE KOMPONEN]]="","",IF(tblDetailHPP[[#This Row],[STATUS HARGA]]="OK",ROUND(tblDetailHPP[[#This Row],[QTY PAKAI]]*tblDetailHPP[[#This Row],[HARGA PER SATUAN DASAR]],2),""))</f>
        <v>443.3</v>
      </c>
      <c r="K33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5" s="34">
        <f>IF(tblDetailHPP[[#This Row],[KODE PRODUK]]="",0,IFERROR(INDEX('PENJUALAN (QTY)'!$AH$3:$AH$500,MATCH(tblDetailHPP[[#This Row],[KODE PRODUK]],'PENJUALAN (QTY)'!$A$3:$A$500,0)),0))</f>
        <v>0</v>
      </c>
      <c r="M33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36" spans="1:13">
      <c r="A336" s="34" t="s">
        <v>204</v>
      </c>
      <c r="B336" s="34" t="str">
        <f>IFERROR(INDEX(tbl_Produk[NAMA PRODUK],MATCH(tblDetailHPP[[#This Row],[KODE PRODUK]],tbl_Produk[KODE PRODUK],0)),"")</f>
        <v>SAUS BBQ</v>
      </c>
      <c r="C336" s="34" t="s">
        <v>354</v>
      </c>
      <c r="D336" s="34" t="s">
        <v>166</v>
      </c>
      <c r="E33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3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TOMAT POUCH</v>
      </c>
      <c r="G336" s="88">
        <v>14.3</v>
      </c>
      <c r="H336" s="34" t="s">
        <v>6</v>
      </c>
      <c r="I33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17</v>
      </c>
      <c r="J336" s="89">
        <f>IF(tblDetailHPP[[#This Row],[KODE KOMPONEN]]="","",IF(tblDetailHPP[[#This Row],[STATUS HARGA]]="OK",ROUND(tblDetailHPP[[#This Row],[QTY PAKAI]]*tblDetailHPP[[#This Row],[HARGA PER SATUAN DASAR]],2),""))</f>
        <v>243.1</v>
      </c>
      <c r="K33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6" s="34">
        <f>IF(tblDetailHPP[[#This Row],[KODE PRODUK]]="",0,IFERROR(INDEX('PENJUALAN (QTY)'!$AH$3:$AH$500,MATCH(tblDetailHPP[[#This Row],[KODE PRODUK]],'PENJUALAN (QTY)'!$A$3:$A$500,0)),0))</f>
        <v>0</v>
      </c>
      <c r="M33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37" spans="1:13">
      <c r="A337" s="34" t="s">
        <v>204</v>
      </c>
      <c r="B337" s="34" t="str">
        <f>IFERROR(INDEX(tbl_Produk[NAMA PRODUK],MATCH(tblDetailHPP[[#This Row],[KODE PRODUK]],tbl_Produk[KODE PRODUK],0)),"")</f>
        <v>SAUS BBQ</v>
      </c>
      <c r="C337" s="34" t="s">
        <v>354</v>
      </c>
      <c r="D337" s="34" t="s">
        <v>168</v>
      </c>
      <c r="E33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3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SMOKE LIQUID</v>
      </c>
      <c r="G337" s="88">
        <v>0.2</v>
      </c>
      <c r="H337" s="34" t="s">
        <v>5</v>
      </c>
      <c r="I33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244</v>
      </c>
      <c r="J337" s="89">
        <f>IF(tblDetailHPP[[#This Row],[KODE KOMPONEN]]="","",IF(tblDetailHPP[[#This Row],[STATUS HARGA]]="OK",ROUND(tblDetailHPP[[#This Row],[QTY PAKAI]]*tblDetailHPP[[#This Row],[HARGA PER SATUAN DASAR]],2),""))</f>
        <v>48.8</v>
      </c>
      <c r="K33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7" s="34">
        <f>IF(tblDetailHPP[[#This Row],[KODE PRODUK]]="",0,IFERROR(INDEX('PENJUALAN (QTY)'!$AH$3:$AH$500,MATCH(tblDetailHPP[[#This Row],[KODE PRODUK]],'PENJUALAN (QTY)'!$A$3:$A$500,0)),0))</f>
        <v>0</v>
      </c>
      <c r="M33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38" spans="1:13">
      <c r="A338" s="34" t="s">
        <v>204</v>
      </c>
      <c r="B338" s="34" t="str">
        <f>IFERROR(INDEX(tbl_Produk[NAMA PRODUK],MATCH(tblDetailHPP[[#This Row],[KODE PRODUK]],tbl_Produk[KODE PRODUK],0)),"")</f>
        <v>SAUS BBQ</v>
      </c>
      <c r="C338" s="34" t="s">
        <v>354</v>
      </c>
      <c r="D338" s="34" t="s">
        <v>177</v>
      </c>
      <c r="E33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3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BBQ POWDER</v>
      </c>
      <c r="G338" s="88">
        <v>2.9</v>
      </c>
      <c r="H338" s="34" t="s">
        <v>5</v>
      </c>
      <c r="I33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338" s="89">
        <f>IF(tblDetailHPP[[#This Row],[KODE KOMPONEN]]="","",IF(tblDetailHPP[[#This Row],[STATUS HARGA]]="OK",ROUND(tblDetailHPP[[#This Row],[QTY PAKAI]]*tblDetailHPP[[#This Row],[HARGA PER SATUAN DASAR]],2),""))</f>
        <v>174</v>
      </c>
      <c r="K33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8" s="34">
        <f>IF(tblDetailHPP[[#This Row],[KODE PRODUK]]="",0,IFERROR(INDEX('PENJUALAN (QTY)'!$AH$3:$AH$500,MATCH(tblDetailHPP[[#This Row],[KODE PRODUK]],'PENJUALAN (QTY)'!$A$3:$A$500,0)),0))</f>
        <v>0</v>
      </c>
      <c r="M33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39" spans="1:13">
      <c r="A339" s="34" t="s">
        <v>205</v>
      </c>
      <c r="B339" s="34" t="str">
        <f>IFERROR(INDEX(tbl_Produk[NAMA PRODUK],MATCH(tblDetailHPP[[#This Row],[KODE PRODUK]],tbl_Produk[KODE PRODUK],0)),"")</f>
        <v>SAUS BROCHEESE</v>
      </c>
      <c r="C339" s="34" t="s">
        <v>354</v>
      </c>
      <c r="D339" s="34" t="s">
        <v>119</v>
      </c>
      <c r="E33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3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BAWANG PUTIH</v>
      </c>
      <c r="G339" s="88">
        <v>0.75</v>
      </c>
      <c r="H339" s="34" t="s">
        <v>5</v>
      </c>
      <c r="I33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40</v>
      </c>
      <c r="J339" s="89">
        <f>IF(tblDetailHPP[[#This Row],[KODE KOMPONEN]]="","",IF(tblDetailHPP[[#This Row],[STATUS HARGA]]="OK",ROUND(tblDetailHPP[[#This Row],[QTY PAKAI]]*tblDetailHPP[[#This Row],[HARGA PER SATUAN DASAR]],2),""))</f>
        <v>30</v>
      </c>
      <c r="K33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39" s="34">
        <f>IF(tblDetailHPP[[#This Row],[KODE PRODUK]]="",0,IFERROR(INDEX('PENJUALAN (QTY)'!$AH$3:$AH$500,MATCH(tblDetailHPP[[#This Row],[KODE PRODUK]],'PENJUALAN (QTY)'!$A$3:$A$500,0)),0))</f>
        <v>0</v>
      </c>
      <c r="M33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40" spans="1:13">
      <c r="A340" s="34" t="s">
        <v>205</v>
      </c>
      <c r="B340" s="34" t="str">
        <f>IFERROR(INDEX(tbl_Produk[NAMA PRODUK],MATCH(tblDetailHPP[[#This Row],[KODE PRODUK]],tbl_Produk[KODE PRODUK],0)),"")</f>
        <v>SAUS BROCHEESE</v>
      </c>
      <c r="C340" s="34" t="s">
        <v>354</v>
      </c>
      <c r="D340" s="34" t="s">
        <v>123</v>
      </c>
      <c r="E34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4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KERING</v>
      </c>
      <c r="G340" s="88">
        <v>1.7</v>
      </c>
      <c r="H340" s="34" t="s">
        <v>5</v>
      </c>
      <c r="I34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340" s="89">
        <f>IF(tblDetailHPP[[#This Row],[KODE KOMPONEN]]="","",IF(tblDetailHPP[[#This Row],[STATUS HARGA]]="OK",ROUND(tblDetailHPP[[#This Row],[QTY PAKAI]]*tblDetailHPP[[#This Row],[HARGA PER SATUAN DASAR]],2),""))</f>
        <v>170</v>
      </c>
      <c r="K34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0" s="34">
        <f>IF(tblDetailHPP[[#This Row],[KODE PRODUK]]="",0,IFERROR(INDEX('PENJUALAN (QTY)'!$AH$3:$AH$500,MATCH(tblDetailHPP[[#This Row],[KODE PRODUK]],'PENJUALAN (QTY)'!$A$3:$A$500,0)),0))</f>
        <v>0</v>
      </c>
      <c r="M34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41" spans="1:13">
      <c r="A341" s="34" t="s">
        <v>205</v>
      </c>
      <c r="B341" s="34" t="str">
        <f>IFERROR(INDEX(tbl_Produk[NAMA PRODUK],MATCH(tblDetailHPP[[#This Row],[KODE PRODUK]],tbl_Produk[KODE PRODUK],0)),"")</f>
        <v>SAUS BROCHEESE</v>
      </c>
      <c r="C341" s="34" t="s">
        <v>354</v>
      </c>
      <c r="D341" s="34" t="s">
        <v>130</v>
      </c>
      <c r="E34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34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60 ML</v>
      </c>
      <c r="G341" s="88">
        <v>1</v>
      </c>
      <c r="H341" s="34" t="s">
        <v>4</v>
      </c>
      <c r="I34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</v>
      </c>
      <c r="J341" s="89">
        <f>IF(tblDetailHPP[[#This Row],[KODE KOMPONEN]]="","",IF(tblDetailHPP[[#This Row],[STATUS HARGA]]="OK",ROUND(tblDetailHPP[[#This Row],[QTY PAKAI]]*tblDetailHPP[[#This Row],[HARGA PER SATUAN DASAR]],2),""))</f>
        <v>300</v>
      </c>
      <c r="K34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1" s="34">
        <f>IF(tblDetailHPP[[#This Row],[KODE PRODUK]]="",0,IFERROR(INDEX('PENJUALAN (QTY)'!$AH$3:$AH$500,MATCH(tblDetailHPP[[#This Row],[KODE PRODUK]],'PENJUALAN (QTY)'!$A$3:$A$500,0)),0))</f>
        <v>0</v>
      </c>
      <c r="M34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42" spans="1:13">
      <c r="A342" s="34" t="s">
        <v>205</v>
      </c>
      <c r="B342" s="34" t="str">
        <f>IFERROR(INDEX(tbl_Produk[NAMA PRODUK],MATCH(tblDetailHPP[[#This Row],[KODE PRODUK]],tbl_Produk[KODE PRODUK],0)),"")</f>
        <v>SAUS BROCHEESE</v>
      </c>
      <c r="C342" s="34" t="s">
        <v>354</v>
      </c>
      <c r="D342" s="34" t="s">
        <v>135</v>
      </c>
      <c r="E34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4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GULA MERAH</v>
      </c>
      <c r="G342" s="88">
        <v>1.8</v>
      </c>
      <c r="H342" s="34" t="s">
        <v>5</v>
      </c>
      <c r="I34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</v>
      </c>
      <c r="J342" s="89">
        <f>IF(tblDetailHPP[[#This Row],[KODE KOMPONEN]]="","",IF(tblDetailHPP[[#This Row],[STATUS HARGA]]="OK",ROUND(tblDetailHPP[[#This Row],[QTY PAKAI]]*tblDetailHPP[[#This Row],[HARGA PER SATUAN DASAR]],2),""))</f>
        <v>43.2</v>
      </c>
      <c r="K34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2" s="34">
        <f>IF(tblDetailHPP[[#This Row],[KODE PRODUK]]="",0,IFERROR(INDEX('PENJUALAN (QTY)'!$AH$3:$AH$500,MATCH(tblDetailHPP[[#This Row],[KODE PRODUK]],'PENJUALAN (QTY)'!$A$3:$A$500,0)),0))</f>
        <v>0</v>
      </c>
      <c r="M34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43" spans="1:13">
      <c r="A343" s="34" t="s">
        <v>205</v>
      </c>
      <c r="B343" s="34" t="str">
        <f>IFERROR(INDEX(tbl_Produk[NAMA PRODUK],MATCH(tblDetailHPP[[#This Row],[KODE PRODUK]],tbl_Produk[KODE PRODUK],0)),"")</f>
        <v>SAUS BROCHEESE</v>
      </c>
      <c r="C343" s="34" t="s">
        <v>354</v>
      </c>
      <c r="D343" s="34" t="s">
        <v>139</v>
      </c>
      <c r="E34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4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KEJU CHEDDAR</v>
      </c>
      <c r="G343" s="88">
        <v>7.35</v>
      </c>
      <c r="H343" s="34" t="s">
        <v>5</v>
      </c>
      <c r="I34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52</v>
      </c>
      <c r="J343" s="89">
        <f>IF(tblDetailHPP[[#This Row],[KODE KOMPONEN]]="","",IF(tblDetailHPP[[#This Row],[STATUS HARGA]]="OK",ROUND(tblDetailHPP[[#This Row],[QTY PAKAI]]*tblDetailHPP[[#This Row],[HARGA PER SATUAN DASAR]],2),""))</f>
        <v>382.2</v>
      </c>
      <c r="K34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3" s="34">
        <f>IF(tblDetailHPP[[#This Row],[KODE PRODUK]]="",0,IFERROR(INDEX('PENJUALAN (QTY)'!$AH$3:$AH$500,MATCH(tblDetailHPP[[#This Row],[KODE PRODUK]],'PENJUALAN (QTY)'!$A$3:$A$500,0)),0))</f>
        <v>0</v>
      </c>
      <c r="M34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44" spans="1:13">
      <c r="A344" s="34" t="s">
        <v>205</v>
      </c>
      <c r="B344" s="34" t="str">
        <f>IFERROR(INDEX(tbl_Produk[NAMA PRODUK],MATCH(tblDetailHPP[[#This Row],[KODE PRODUK]],tbl_Produk[KODE PRODUK],0)),"")</f>
        <v>SAUS BROCHEESE</v>
      </c>
      <c r="C344" s="34" t="s">
        <v>354</v>
      </c>
      <c r="D344" s="34" t="s">
        <v>143</v>
      </c>
      <c r="E34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4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344" s="88">
        <v>13</v>
      </c>
      <c r="H344" s="34" t="s">
        <v>5</v>
      </c>
      <c r="I34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344" s="89">
        <f>IF(tblDetailHPP[[#This Row],[KODE KOMPONEN]]="","",IF(tblDetailHPP[[#This Row],[STATUS HARGA]]="OK",ROUND(tblDetailHPP[[#This Row],[QTY PAKAI]]*tblDetailHPP[[#This Row],[HARGA PER SATUAN DASAR]],2),""))</f>
        <v>99.67</v>
      </c>
      <c r="K34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4" s="34">
        <f>IF(tblDetailHPP[[#This Row],[KODE PRODUK]]="",0,IFERROR(INDEX('PENJUALAN (QTY)'!$AH$3:$AH$500,MATCH(tblDetailHPP[[#This Row],[KODE PRODUK]],'PENJUALAN (QTY)'!$A$3:$A$500,0)),0))</f>
        <v>0</v>
      </c>
      <c r="M34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45" spans="1:13">
      <c r="A345" s="34" t="s">
        <v>205</v>
      </c>
      <c r="B345" s="34" t="str">
        <f>IFERROR(INDEX(tbl_Produk[NAMA PRODUK],MATCH(tblDetailHPP[[#This Row],[KODE PRODUK]],tbl_Produk[KODE PRODUK],0)),"")</f>
        <v>SAUS BROCHEESE</v>
      </c>
      <c r="C345" s="34" t="s">
        <v>354</v>
      </c>
      <c r="D345" s="34" t="s">
        <v>152</v>
      </c>
      <c r="E34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4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NANAS</v>
      </c>
      <c r="G345" s="88">
        <v>1</v>
      </c>
      <c r="H345" s="34" t="s">
        <v>110</v>
      </c>
      <c r="I34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142.85714285714286</v>
      </c>
      <c r="J345" s="89">
        <f>IF(tblDetailHPP[[#This Row],[KODE KOMPONEN]]="","",IF(tblDetailHPP[[#This Row],[STATUS HARGA]]="OK",ROUND(tblDetailHPP[[#This Row],[QTY PAKAI]]*tblDetailHPP[[#This Row],[HARGA PER SATUAN DASAR]],2),""))</f>
        <v>142.86000000000001</v>
      </c>
      <c r="K34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5" s="34">
        <f>IF(tblDetailHPP[[#This Row],[KODE PRODUK]]="",0,IFERROR(INDEX('PENJUALAN (QTY)'!$AH$3:$AH$500,MATCH(tblDetailHPP[[#This Row],[KODE PRODUK]],'PENJUALAN (QTY)'!$A$3:$A$500,0)),0))</f>
        <v>0</v>
      </c>
      <c r="M34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46" spans="1:13">
      <c r="A346" s="34" t="s">
        <v>205</v>
      </c>
      <c r="B346" s="34" t="str">
        <f>IFERROR(INDEX(tbl_Produk[NAMA PRODUK],MATCH(tblDetailHPP[[#This Row],[KODE PRODUK]],tbl_Produk[KODE PRODUK],0)),"")</f>
        <v>SAUS BROCHEESE</v>
      </c>
      <c r="C346" s="34" t="s">
        <v>354</v>
      </c>
      <c r="D346" s="34" t="s">
        <v>163</v>
      </c>
      <c r="E34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4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PASTA BBQ</v>
      </c>
      <c r="G346" s="88">
        <v>7.15</v>
      </c>
      <c r="H346" s="34" t="s">
        <v>6</v>
      </c>
      <c r="I34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31</v>
      </c>
      <c r="J346" s="89">
        <f>IF(tblDetailHPP[[#This Row],[KODE KOMPONEN]]="","",IF(tblDetailHPP[[#This Row],[STATUS HARGA]]="OK",ROUND(tblDetailHPP[[#This Row],[QTY PAKAI]]*tblDetailHPP[[#This Row],[HARGA PER SATUAN DASAR]],2),""))</f>
        <v>221.65</v>
      </c>
      <c r="K34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6" s="34">
        <f>IF(tblDetailHPP[[#This Row],[KODE PRODUK]]="",0,IFERROR(INDEX('PENJUALAN (QTY)'!$AH$3:$AH$500,MATCH(tblDetailHPP[[#This Row],[KODE PRODUK]],'PENJUALAN (QTY)'!$A$3:$A$500,0)),0))</f>
        <v>0</v>
      </c>
      <c r="M34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47" spans="1:13">
      <c r="A347" s="34" t="s">
        <v>205</v>
      </c>
      <c r="B347" s="34" t="str">
        <f>IFERROR(INDEX(tbl_Produk[NAMA PRODUK],MATCH(tblDetailHPP[[#This Row],[KODE PRODUK]],tbl_Produk[KODE PRODUK],0)),"")</f>
        <v>SAUS BROCHEESE</v>
      </c>
      <c r="C347" s="34" t="s">
        <v>354</v>
      </c>
      <c r="D347" s="34" t="s">
        <v>166</v>
      </c>
      <c r="E34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4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TOMAT POUCH</v>
      </c>
      <c r="G347" s="88">
        <v>7.15</v>
      </c>
      <c r="H347" s="34" t="s">
        <v>6</v>
      </c>
      <c r="I34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17</v>
      </c>
      <c r="J347" s="89">
        <f>IF(tblDetailHPP[[#This Row],[KODE KOMPONEN]]="","",IF(tblDetailHPP[[#This Row],[STATUS HARGA]]="OK",ROUND(tblDetailHPP[[#This Row],[QTY PAKAI]]*tblDetailHPP[[#This Row],[HARGA PER SATUAN DASAR]],2),""))</f>
        <v>121.55</v>
      </c>
      <c r="K34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7" s="34">
        <f>IF(tblDetailHPP[[#This Row],[KODE PRODUK]]="",0,IFERROR(INDEX('PENJUALAN (QTY)'!$AH$3:$AH$500,MATCH(tblDetailHPP[[#This Row],[KODE PRODUK]],'PENJUALAN (QTY)'!$A$3:$A$500,0)),0))</f>
        <v>0</v>
      </c>
      <c r="M34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48" spans="1:13">
      <c r="A348" s="34" t="s">
        <v>205</v>
      </c>
      <c r="B348" s="34" t="str">
        <f>IFERROR(INDEX(tbl_Produk[NAMA PRODUK],MATCH(tblDetailHPP[[#This Row],[KODE PRODUK]],tbl_Produk[KODE PRODUK],0)),"")</f>
        <v>SAUS BROCHEESE</v>
      </c>
      <c r="C348" s="34" t="s">
        <v>354</v>
      </c>
      <c r="D348" s="34" t="s">
        <v>168</v>
      </c>
      <c r="E34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4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SMOKE LIQUID</v>
      </c>
      <c r="G348" s="88">
        <v>0.1</v>
      </c>
      <c r="H348" s="34" t="s">
        <v>5</v>
      </c>
      <c r="I34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244</v>
      </c>
      <c r="J348" s="89">
        <f>IF(tblDetailHPP[[#This Row],[KODE KOMPONEN]]="","",IF(tblDetailHPP[[#This Row],[STATUS HARGA]]="OK",ROUND(tblDetailHPP[[#This Row],[QTY PAKAI]]*tblDetailHPP[[#This Row],[HARGA PER SATUAN DASAR]],2),""))</f>
        <v>24.4</v>
      </c>
      <c r="K34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8" s="34">
        <f>IF(tblDetailHPP[[#This Row],[KODE PRODUK]]="",0,IFERROR(INDEX('PENJUALAN (QTY)'!$AH$3:$AH$500,MATCH(tblDetailHPP[[#This Row],[KODE PRODUK]],'PENJUALAN (QTY)'!$A$3:$A$500,0)),0))</f>
        <v>0</v>
      </c>
      <c r="M34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49" spans="1:13">
      <c r="A349" s="34" t="s">
        <v>205</v>
      </c>
      <c r="B349" s="34" t="str">
        <f>IFERROR(INDEX(tbl_Produk[NAMA PRODUK],MATCH(tblDetailHPP[[#This Row],[KODE PRODUK]],tbl_Produk[KODE PRODUK],0)),"")</f>
        <v>SAUS BROCHEESE</v>
      </c>
      <c r="C349" s="34" t="s">
        <v>354</v>
      </c>
      <c r="D349" s="34" t="s">
        <v>171</v>
      </c>
      <c r="E34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4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SUSU UHT</v>
      </c>
      <c r="G349" s="88">
        <v>14.3</v>
      </c>
      <c r="H349" s="34" t="s">
        <v>6</v>
      </c>
      <c r="I34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21</v>
      </c>
      <c r="J349" s="89">
        <f>IF(tblDetailHPP[[#This Row],[KODE KOMPONEN]]="","",IF(tblDetailHPP[[#This Row],[STATUS HARGA]]="OK",ROUND(tblDetailHPP[[#This Row],[QTY PAKAI]]*tblDetailHPP[[#This Row],[HARGA PER SATUAN DASAR]],2),""))</f>
        <v>300.3</v>
      </c>
      <c r="K34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49" s="34">
        <f>IF(tblDetailHPP[[#This Row],[KODE PRODUK]]="",0,IFERROR(INDEX('PENJUALAN (QTY)'!$AH$3:$AH$500,MATCH(tblDetailHPP[[#This Row],[KODE PRODUK]],'PENJUALAN (QTY)'!$A$3:$A$500,0)),0))</f>
        <v>0</v>
      </c>
      <c r="M34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50" spans="1:13">
      <c r="A350" s="34" t="s">
        <v>205</v>
      </c>
      <c r="B350" s="34" t="str">
        <f>IFERROR(INDEX(tbl_Produk[NAMA PRODUK],MATCH(tblDetailHPP[[#This Row],[KODE PRODUK]],tbl_Produk[KODE PRODUK],0)),"")</f>
        <v>SAUS BROCHEESE</v>
      </c>
      <c r="C350" s="34" t="s">
        <v>354</v>
      </c>
      <c r="D350" s="34" t="s">
        <v>177</v>
      </c>
      <c r="E35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5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BBQ POWDER</v>
      </c>
      <c r="G350" s="88">
        <v>1.45</v>
      </c>
      <c r="H350" s="34" t="s">
        <v>5</v>
      </c>
      <c r="I35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350" s="89">
        <f>IF(tblDetailHPP[[#This Row],[KODE KOMPONEN]]="","",IF(tblDetailHPP[[#This Row],[STATUS HARGA]]="OK",ROUND(tblDetailHPP[[#This Row],[QTY PAKAI]]*tblDetailHPP[[#This Row],[HARGA PER SATUAN DASAR]],2),""))</f>
        <v>87</v>
      </c>
      <c r="K35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0" s="34">
        <f>IF(tblDetailHPP[[#This Row],[KODE PRODUK]]="",0,IFERROR(INDEX('PENJUALAN (QTY)'!$AH$3:$AH$500,MATCH(tblDetailHPP[[#This Row],[KODE PRODUK]],'PENJUALAN (QTY)'!$A$3:$A$500,0)),0))</f>
        <v>0</v>
      </c>
      <c r="M35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51" spans="1:13">
      <c r="A351" s="34" t="s">
        <v>205</v>
      </c>
      <c r="B351" s="34" t="str">
        <f>IFERROR(INDEX(tbl_Produk[NAMA PRODUK],MATCH(tblDetailHPP[[#This Row],[KODE PRODUK]],tbl_Produk[KODE PRODUK],0)),"")</f>
        <v>SAUS BROCHEESE</v>
      </c>
      <c r="C351" s="34" t="s">
        <v>354</v>
      </c>
      <c r="D351" s="34" t="s">
        <v>178</v>
      </c>
      <c r="E35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5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KEJU POWDER</v>
      </c>
      <c r="G351" s="88">
        <v>2.95</v>
      </c>
      <c r="H351" s="34" t="s">
        <v>5</v>
      </c>
      <c r="I35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351" s="89">
        <f>IF(tblDetailHPP[[#This Row],[KODE KOMPONEN]]="","",IF(tblDetailHPP[[#This Row],[STATUS HARGA]]="OK",ROUND(tblDetailHPP[[#This Row],[QTY PAKAI]]*tblDetailHPP[[#This Row],[HARGA PER SATUAN DASAR]],2),""))</f>
        <v>177</v>
      </c>
      <c r="K35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1" s="34">
        <f>IF(tblDetailHPP[[#This Row],[KODE PRODUK]]="",0,IFERROR(INDEX('PENJUALAN (QTY)'!$AH$3:$AH$500,MATCH(tblDetailHPP[[#This Row],[KODE PRODUK]],'PENJUALAN (QTY)'!$A$3:$A$500,0)),0))</f>
        <v>0</v>
      </c>
      <c r="M35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52" spans="1:13">
      <c r="A352" s="34" t="s">
        <v>206</v>
      </c>
      <c r="B352" s="34" t="str">
        <f>IFERROR(INDEX(tbl_Produk[NAMA PRODUK],MATCH(tblDetailHPP[[#This Row],[KODE PRODUK]],tbl_Produk[KODE PRODUK],0)),"")</f>
        <v>SAUS CREAMY CHEESE</v>
      </c>
      <c r="C352" s="34" t="s">
        <v>354</v>
      </c>
      <c r="D352" s="34" t="s">
        <v>123</v>
      </c>
      <c r="E35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5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CABAI KERING</v>
      </c>
      <c r="G352" s="88">
        <v>1.7</v>
      </c>
      <c r="H352" s="34" t="s">
        <v>5</v>
      </c>
      <c r="I35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100</v>
      </c>
      <c r="J352" s="89">
        <f>IF(tblDetailHPP[[#This Row],[KODE KOMPONEN]]="","",IF(tblDetailHPP[[#This Row],[STATUS HARGA]]="OK",ROUND(tblDetailHPP[[#This Row],[QTY PAKAI]]*tblDetailHPP[[#This Row],[HARGA PER SATUAN DASAR]],2),""))</f>
        <v>170</v>
      </c>
      <c r="K35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2" s="34">
        <f>IF(tblDetailHPP[[#This Row],[KODE PRODUK]]="",0,IFERROR(INDEX('PENJUALAN (QTY)'!$AH$3:$AH$500,MATCH(tblDetailHPP[[#This Row],[KODE PRODUK]],'PENJUALAN (QTY)'!$A$3:$A$500,0)),0))</f>
        <v>0</v>
      </c>
      <c r="M35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53" spans="1:13">
      <c r="A353" s="34" t="s">
        <v>206</v>
      </c>
      <c r="B353" s="34" t="str">
        <f>IFERROR(INDEX(tbl_Produk[NAMA PRODUK],MATCH(tblDetailHPP[[#This Row],[KODE PRODUK]],tbl_Produk[KODE PRODUK],0)),"")</f>
        <v>SAUS CREAMY CHEESE</v>
      </c>
      <c r="C353" s="34" t="s">
        <v>354</v>
      </c>
      <c r="D353" s="34" t="s">
        <v>130</v>
      </c>
      <c r="E35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35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CUP 60 ML</v>
      </c>
      <c r="G353" s="88">
        <v>1</v>
      </c>
      <c r="H353" s="34" t="s">
        <v>4</v>
      </c>
      <c r="I35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300</v>
      </c>
      <c r="J353" s="89">
        <f>IF(tblDetailHPP[[#This Row],[KODE KOMPONEN]]="","",IF(tblDetailHPP[[#This Row],[STATUS HARGA]]="OK",ROUND(tblDetailHPP[[#This Row],[QTY PAKAI]]*tblDetailHPP[[#This Row],[HARGA PER SATUAN DASAR]],2),""))</f>
        <v>300</v>
      </c>
      <c r="K35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3" s="34">
        <f>IF(tblDetailHPP[[#This Row],[KODE PRODUK]]="",0,IFERROR(INDEX('PENJUALAN (QTY)'!$AH$3:$AH$500,MATCH(tblDetailHPP[[#This Row],[KODE PRODUK]],'PENJUALAN (QTY)'!$A$3:$A$500,0)),0))</f>
        <v>0</v>
      </c>
      <c r="M35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54" spans="1:13">
      <c r="A354" s="34" t="s">
        <v>206</v>
      </c>
      <c r="B354" s="34" t="str">
        <f>IFERROR(INDEX(tbl_Produk[NAMA PRODUK],MATCH(tblDetailHPP[[#This Row],[KODE PRODUK]],tbl_Produk[KODE PRODUK],0)),"")</f>
        <v>SAUS CREAMY CHEESE</v>
      </c>
      <c r="C354" s="34" t="s">
        <v>354</v>
      </c>
      <c r="D354" s="34" t="s">
        <v>139</v>
      </c>
      <c r="E35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5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KEJU CHEDDAR</v>
      </c>
      <c r="G354" s="88">
        <v>14.7</v>
      </c>
      <c r="H354" s="34" t="s">
        <v>5</v>
      </c>
      <c r="I35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52</v>
      </c>
      <c r="J354" s="89">
        <f>IF(tblDetailHPP[[#This Row],[KODE KOMPONEN]]="","",IF(tblDetailHPP[[#This Row],[STATUS HARGA]]="OK",ROUND(tblDetailHPP[[#This Row],[QTY PAKAI]]*tblDetailHPP[[#This Row],[HARGA PER SATUAN DASAR]],2),""))</f>
        <v>764.4</v>
      </c>
      <c r="K35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4" s="34">
        <f>IF(tblDetailHPP[[#This Row],[KODE PRODUK]]="",0,IFERROR(INDEX('PENJUALAN (QTY)'!$AH$3:$AH$500,MATCH(tblDetailHPP[[#This Row],[KODE PRODUK]],'PENJUALAN (QTY)'!$A$3:$A$500,0)),0))</f>
        <v>0</v>
      </c>
      <c r="M35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55" spans="1:13">
      <c r="A355" s="34" t="s">
        <v>206</v>
      </c>
      <c r="B355" s="34" t="str">
        <f>IFERROR(INDEX(tbl_Produk[NAMA PRODUK],MATCH(tblDetailHPP[[#This Row],[KODE PRODUK]],tbl_Produk[KODE PRODUK],0)),"")</f>
        <v>SAUS CREAMY CHEESE</v>
      </c>
      <c r="C355" s="34" t="s">
        <v>354</v>
      </c>
      <c r="D355" s="34" t="s">
        <v>143</v>
      </c>
      <c r="E35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5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355" s="88">
        <v>13</v>
      </c>
      <c r="H355" s="34" t="s">
        <v>5</v>
      </c>
      <c r="I35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355" s="89">
        <f>IF(tblDetailHPP[[#This Row],[KODE KOMPONEN]]="","",IF(tblDetailHPP[[#This Row],[STATUS HARGA]]="OK",ROUND(tblDetailHPP[[#This Row],[QTY PAKAI]]*tblDetailHPP[[#This Row],[HARGA PER SATUAN DASAR]],2),""))</f>
        <v>99.67</v>
      </c>
      <c r="K35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5" s="34">
        <f>IF(tblDetailHPP[[#This Row],[KODE PRODUK]]="",0,IFERROR(INDEX('PENJUALAN (QTY)'!$AH$3:$AH$500,MATCH(tblDetailHPP[[#This Row],[KODE PRODUK]],'PENJUALAN (QTY)'!$A$3:$A$500,0)),0))</f>
        <v>0</v>
      </c>
      <c r="M35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56" spans="1:13">
      <c r="A356" s="34" t="s">
        <v>206</v>
      </c>
      <c r="B356" s="34" t="str">
        <f>IFERROR(INDEX(tbl_Produk[NAMA PRODUK],MATCH(tblDetailHPP[[#This Row],[KODE PRODUK]],tbl_Produk[KODE PRODUK],0)),"")</f>
        <v>SAUS CREAMY CHEESE</v>
      </c>
      <c r="C356" s="34" t="s">
        <v>354</v>
      </c>
      <c r="D356" s="34" t="s">
        <v>171</v>
      </c>
      <c r="E35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5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SUSU UHT</v>
      </c>
      <c r="G356" s="88">
        <v>28.6</v>
      </c>
      <c r="H356" s="34" t="s">
        <v>6</v>
      </c>
      <c r="I35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21</v>
      </c>
      <c r="J356" s="89">
        <f>IF(tblDetailHPP[[#This Row],[KODE KOMPONEN]]="","",IF(tblDetailHPP[[#This Row],[STATUS HARGA]]="OK",ROUND(tblDetailHPP[[#This Row],[QTY PAKAI]]*tblDetailHPP[[#This Row],[HARGA PER SATUAN DASAR]],2),""))</f>
        <v>600.6</v>
      </c>
      <c r="K35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6" s="34">
        <f>IF(tblDetailHPP[[#This Row],[KODE PRODUK]]="",0,IFERROR(INDEX('PENJUALAN (QTY)'!$AH$3:$AH$500,MATCH(tblDetailHPP[[#This Row],[KODE PRODUK]],'PENJUALAN (QTY)'!$A$3:$A$500,0)),0))</f>
        <v>0</v>
      </c>
      <c r="M35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57" spans="1:13">
      <c r="A357" s="34" t="s">
        <v>206</v>
      </c>
      <c r="B357" s="34" t="str">
        <f>IFERROR(INDEX(tbl_Produk[NAMA PRODUK],MATCH(tblDetailHPP[[#This Row],[KODE PRODUK]],tbl_Produk[KODE PRODUK],0)),"")</f>
        <v>SAUS CREAMY CHEESE</v>
      </c>
      <c r="C357" s="34" t="s">
        <v>354</v>
      </c>
      <c r="D357" s="34" t="s">
        <v>178</v>
      </c>
      <c r="E35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5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ULTRA KEJU POWDER</v>
      </c>
      <c r="G357" s="88">
        <v>5.9</v>
      </c>
      <c r="H357" s="34" t="s">
        <v>5</v>
      </c>
      <c r="I35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60</v>
      </c>
      <c r="J357" s="89">
        <f>IF(tblDetailHPP[[#This Row],[KODE KOMPONEN]]="","",IF(tblDetailHPP[[#This Row],[STATUS HARGA]]="OK",ROUND(tblDetailHPP[[#This Row],[QTY PAKAI]]*tblDetailHPP[[#This Row],[HARGA PER SATUAN DASAR]],2),""))</f>
        <v>354</v>
      </c>
      <c r="K35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7" s="34">
        <f>IF(tblDetailHPP[[#This Row],[KODE PRODUK]]="",0,IFERROR(INDEX('PENJUALAN (QTY)'!$AH$3:$AH$500,MATCH(tblDetailHPP[[#This Row],[KODE PRODUK]],'PENJUALAN (QTY)'!$A$3:$A$500,0)),0))</f>
        <v>0</v>
      </c>
      <c r="M35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58" spans="1:13">
      <c r="A358" s="34" t="s">
        <v>207</v>
      </c>
      <c r="B358" s="34" t="str">
        <f>IFERROR(INDEX(tbl_Produk[NAMA PRODUK],MATCH(tblDetailHPP[[#This Row],[KODE PRODUK]],tbl_Produk[KODE PRODUK],0)),"")</f>
        <v>TAHU CRISPY</v>
      </c>
      <c r="C358" s="34" t="s">
        <v>354</v>
      </c>
      <c r="D358" s="34" t="s">
        <v>142</v>
      </c>
      <c r="E35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5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KERTAS PRINTER</v>
      </c>
      <c r="G358" s="88">
        <v>15</v>
      </c>
      <c r="H358" s="34" t="s">
        <v>222</v>
      </c>
      <c r="I35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</v>
      </c>
      <c r="J358" s="89">
        <f>IF(tblDetailHPP[[#This Row],[KODE KOMPONEN]]="","",IF(tblDetailHPP[[#This Row],[STATUS HARGA]]="OK",ROUND(tblDetailHPP[[#This Row],[QTY PAKAI]]*tblDetailHPP[[#This Row],[HARGA PER SATUAN DASAR]],2),""))</f>
        <v>75</v>
      </c>
      <c r="K35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8" s="34">
        <f>IF(tblDetailHPP[[#This Row],[KODE PRODUK]]="",0,IFERROR(INDEX('PENJUALAN (QTY)'!$AH$3:$AH$500,MATCH(tblDetailHPP[[#This Row],[KODE PRODUK]],'PENJUALAN (QTY)'!$A$3:$A$500,0)),0))</f>
        <v>0</v>
      </c>
      <c r="M35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59" spans="1:13">
      <c r="A359" s="34" t="s">
        <v>207</v>
      </c>
      <c r="B359" s="34" t="str">
        <f>IFERROR(INDEX(tbl_Produk[NAMA PRODUK],MATCH(tblDetailHPP[[#This Row],[KODE PRODUK]],tbl_Produk[KODE PRODUK],0)),"")</f>
        <v>TAHU CRISPY</v>
      </c>
      <c r="C359" s="34" t="s">
        <v>354</v>
      </c>
      <c r="D359" s="34" t="s">
        <v>143</v>
      </c>
      <c r="E359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59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LPG 3KG</v>
      </c>
      <c r="G359" s="88">
        <v>13</v>
      </c>
      <c r="H359" s="34" t="s">
        <v>5</v>
      </c>
      <c r="I359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7.666666666666667</v>
      </c>
      <c r="J359" s="89">
        <f>IF(tblDetailHPP[[#This Row],[KODE KOMPONEN]]="","",IF(tblDetailHPP[[#This Row],[STATUS HARGA]]="OK",ROUND(tblDetailHPP[[#This Row],[QTY PAKAI]]*tblDetailHPP[[#This Row],[HARGA PER SATUAN DASAR]],2),""))</f>
        <v>99.67</v>
      </c>
      <c r="K359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59" s="34">
        <f>IF(tblDetailHPP[[#This Row],[KODE PRODUK]]="",0,IFERROR(INDEX('PENJUALAN (QTY)'!$AH$3:$AH$500,MATCH(tblDetailHPP[[#This Row],[KODE PRODUK]],'PENJUALAN (QTY)'!$A$3:$A$500,0)),0))</f>
        <v>0</v>
      </c>
      <c r="M359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60" spans="1:13">
      <c r="A360" s="34" t="s">
        <v>207</v>
      </c>
      <c r="B360" s="34" t="str">
        <f>IFERROR(INDEX(tbl_Produk[NAMA PRODUK],MATCH(tblDetailHPP[[#This Row],[KODE PRODUK]],tbl_Produk[KODE PRODUK],0)),"")</f>
        <v>TAHU CRISPY</v>
      </c>
      <c r="C360" s="34" t="s">
        <v>354</v>
      </c>
      <c r="D360" s="34" t="s">
        <v>146</v>
      </c>
      <c r="E360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360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LUNCHBOX S</v>
      </c>
      <c r="G360" s="88">
        <v>1</v>
      </c>
      <c r="H360" s="34" t="s">
        <v>4</v>
      </c>
      <c r="I360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450</v>
      </c>
      <c r="J360" s="89">
        <f>IF(tblDetailHPP[[#This Row],[KODE KOMPONEN]]="","",IF(tblDetailHPP[[#This Row],[STATUS HARGA]]="OK",ROUND(tblDetailHPP[[#This Row],[QTY PAKAI]]*tblDetailHPP[[#This Row],[HARGA PER SATUAN DASAR]],2),""))</f>
        <v>450</v>
      </c>
      <c r="K360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60" s="34">
        <f>IF(tblDetailHPP[[#This Row],[KODE PRODUK]]="",0,IFERROR(INDEX('PENJUALAN (QTY)'!$AH$3:$AH$500,MATCH(tblDetailHPP[[#This Row],[KODE PRODUK]],'PENJUALAN (QTY)'!$A$3:$A$500,0)),0))</f>
        <v>0</v>
      </c>
      <c r="M360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61" spans="1:13">
      <c r="A361" s="34" t="s">
        <v>207</v>
      </c>
      <c r="B361" s="34" t="str">
        <f>IFERROR(INDEX(tbl_Produk[NAMA PRODUK],MATCH(tblDetailHPP[[#This Row],[KODE PRODUK]],tbl_Produk[KODE PRODUK],0)),"")</f>
        <v>TAHU CRISPY</v>
      </c>
      <c r="C361" s="34" t="s">
        <v>354</v>
      </c>
      <c r="D361" s="34" t="s">
        <v>150</v>
      </c>
      <c r="E361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61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MINYAK</v>
      </c>
      <c r="G361" s="88">
        <v>50</v>
      </c>
      <c r="H361" s="34" t="s">
        <v>6</v>
      </c>
      <c r="I361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23</v>
      </c>
      <c r="J361" s="89">
        <f>IF(tblDetailHPP[[#This Row],[KODE KOMPONEN]]="","",IF(tblDetailHPP[[#This Row],[STATUS HARGA]]="OK",ROUND(tblDetailHPP[[#This Row],[QTY PAKAI]]*tblDetailHPP[[#This Row],[HARGA PER SATUAN DASAR]],2),""))</f>
        <v>1150</v>
      </c>
      <c r="K361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61" s="34">
        <f>IF(tblDetailHPP[[#This Row],[KODE PRODUK]]="",0,IFERROR(INDEX('PENJUALAN (QTY)'!$AH$3:$AH$500,MATCH(tblDetailHPP[[#This Row],[KODE PRODUK]],'PENJUALAN (QTY)'!$A$3:$A$500,0)),0))</f>
        <v>0</v>
      </c>
      <c r="M361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62" spans="1:13">
      <c r="A362" s="34" t="s">
        <v>207</v>
      </c>
      <c r="B362" s="34" t="str">
        <f>IFERROR(INDEX(tbl_Produk[NAMA PRODUK],MATCH(tblDetailHPP[[#This Row],[KODE PRODUK]],tbl_Produk[KODE PRODUK],0)),"")</f>
        <v>TAHU CRISPY</v>
      </c>
      <c r="C362" s="34" t="s">
        <v>354</v>
      </c>
      <c r="D362" s="34" t="s">
        <v>158</v>
      </c>
      <c r="E362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KEMASAN &amp; SUPPLIES</v>
      </c>
      <c r="F362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PLASTIK UK. 15</v>
      </c>
      <c r="G362" s="88">
        <v>1</v>
      </c>
      <c r="H362" s="34" t="s">
        <v>4</v>
      </c>
      <c r="I362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280</v>
      </c>
      <c r="J362" s="89">
        <f>IF(tblDetailHPP[[#This Row],[KODE KOMPONEN]]="","",IF(tblDetailHPP[[#This Row],[STATUS HARGA]]="OK",ROUND(tblDetailHPP[[#This Row],[QTY PAKAI]]*tblDetailHPP[[#This Row],[HARGA PER SATUAN DASAR]],2),""))</f>
        <v>280</v>
      </c>
      <c r="K362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62" s="34">
        <f>IF(tblDetailHPP[[#This Row],[KODE PRODUK]]="",0,IFERROR(INDEX('PENJUALAN (QTY)'!$AH$3:$AH$500,MATCH(tblDetailHPP[[#This Row],[KODE PRODUK]],'PENJUALAN (QTY)'!$A$3:$A$500,0)),0))</f>
        <v>0</v>
      </c>
      <c r="M362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63" spans="1:13">
      <c r="A363" s="34" t="s">
        <v>207</v>
      </c>
      <c r="B363" s="34" t="str">
        <f>IFERROR(INDEX(tbl_Produk[NAMA PRODUK],MATCH(tblDetailHPP[[#This Row],[KODE PRODUK]],tbl_Produk[KODE PRODUK],0)),"")</f>
        <v>TAHU CRISPY</v>
      </c>
      <c r="C363" s="34" t="s">
        <v>354</v>
      </c>
      <c r="D363" s="34" t="s">
        <v>164</v>
      </c>
      <c r="E363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63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SACHET SAMBAL</v>
      </c>
      <c r="G363" s="88">
        <v>1</v>
      </c>
      <c r="H363" s="34" t="s">
        <v>4</v>
      </c>
      <c r="I363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208.33333333333334</v>
      </c>
      <c r="J363" s="89">
        <f>IF(tblDetailHPP[[#This Row],[KODE KOMPONEN]]="","",IF(tblDetailHPP[[#This Row],[STATUS HARGA]]="OK",ROUND(tblDetailHPP[[#This Row],[QTY PAKAI]]*tblDetailHPP[[#This Row],[HARGA PER SATUAN DASAR]],2),""))</f>
        <v>208.33</v>
      </c>
      <c r="K363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63" s="34">
        <f>IF(tblDetailHPP[[#This Row],[KODE PRODUK]]="",0,IFERROR(INDEX('PENJUALAN (QTY)'!$AH$3:$AH$500,MATCH(tblDetailHPP[[#This Row],[KODE PRODUK]],'PENJUALAN (QTY)'!$A$3:$A$500,0)),0))</f>
        <v>0</v>
      </c>
      <c r="M363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64" spans="1:13">
      <c r="A364" s="34" t="s">
        <v>207</v>
      </c>
      <c r="B364" s="34" t="str">
        <f>IFERROR(INDEX(tbl_Produk[NAMA PRODUK],MATCH(tblDetailHPP[[#This Row],[KODE PRODUK]],tbl_Produk[KODE PRODUK],0)),"")</f>
        <v>TAHU CRISPY</v>
      </c>
      <c r="C364" s="34" t="s">
        <v>354</v>
      </c>
      <c r="D364" s="34" t="s">
        <v>165</v>
      </c>
      <c r="E364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64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SAUS SACHET TOMAT</v>
      </c>
      <c r="G364" s="88">
        <v>1</v>
      </c>
      <c r="H364" s="34" t="s">
        <v>4</v>
      </c>
      <c r="I364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208.33333333333334</v>
      </c>
      <c r="J364" s="89">
        <f>IF(tblDetailHPP[[#This Row],[KODE KOMPONEN]]="","",IF(tblDetailHPP[[#This Row],[STATUS HARGA]]="OK",ROUND(tblDetailHPP[[#This Row],[QTY PAKAI]]*tblDetailHPP[[#This Row],[HARGA PER SATUAN DASAR]],2),""))</f>
        <v>208.33</v>
      </c>
      <c r="K364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64" s="34">
        <f>IF(tblDetailHPP[[#This Row],[KODE PRODUK]]="",0,IFERROR(INDEX('PENJUALAN (QTY)'!$AH$3:$AH$500,MATCH(tblDetailHPP[[#This Row],[KODE PRODUK]],'PENJUALAN (QTY)'!$A$3:$A$500,0)),0))</f>
        <v>0</v>
      </c>
      <c r="M364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65" spans="1:13">
      <c r="A365" s="34" t="s">
        <v>207</v>
      </c>
      <c r="B365" s="34" t="str">
        <f>IFERROR(INDEX(tbl_Produk[NAMA PRODUK],MATCH(tblDetailHPP[[#This Row],[KODE PRODUK]],tbl_Produk[KODE PRODUK],0)),"")</f>
        <v>TAHU CRISPY</v>
      </c>
      <c r="C365" s="34" t="s">
        <v>354</v>
      </c>
      <c r="D365" s="34" t="s">
        <v>170</v>
      </c>
      <c r="E365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OVERHEAD / OPERASIONAL</v>
      </c>
      <c r="F365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STICKER BRANDING</v>
      </c>
      <c r="G365" s="88">
        <v>1</v>
      </c>
      <c r="H365" s="34" t="s">
        <v>4</v>
      </c>
      <c r="I365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129.87012987012986</v>
      </c>
      <c r="J365" s="89">
        <f>IF(tblDetailHPP[[#This Row],[KODE KOMPONEN]]="","",IF(tblDetailHPP[[#This Row],[STATUS HARGA]]="OK",ROUND(tblDetailHPP[[#This Row],[QTY PAKAI]]*tblDetailHPP[[#This Row],[HARGA PER SATUAN DASAR]],2),""))</f>
        <v>129.87</v>
      </c>
      <c r="K365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65" s="34">
        <f>IF(tblDetailHPP[[#This Row],[KODE PRODUK]]="",0,IFERROR(INDEX('PENJUALAN (QTY)'!$AH$3:$AH$500,MATCH(tblDetailHPP[[#This Row],[KODE PRODUK]],'PENJUALAN (QTY)'!$A$3:$A$500,0)),0))</f>
        <v>0</v>
      </c>
      <c r="M365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66" spans="1:13">
      <c r="A366" s="34" t="s">
        <v>207</v>
      </c>
      <c r="B366" s="34" t="str">
        <f>IFERROR(INDEX(tbl_Produk[NAMA PRODUK],MATCH(tblDetailHPP[[#This Row],[KODE PRODUK]],tbl_Produk[KODE PRODUK],0)),"")</f>
        <v>TAHU CRISPY</v>
      </c>
      <c r="C366" s="34" t="s">
        <v>354</v>
      </c>
      <c r="D366" s="34" t="s">
        <v>172</v>
      </c>
      <c r="E366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BAHAN UTAMA</v>
      </c>
      <c r="F366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TAHU</v>
      </c>
      <c r="G366" s="88">
        <v>8</v>
      </c>
      <c r="H366" s="34" t="s">
        <v>228</v>
      </c>
      <c r="I366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125</v>
      </c>
      <c r="J366" s="89">
        <f>IF(tblDetailHPP[[#This Row],[KODE KOMPONEN]]="","",IF(tblDetailHPP[[#This Row],[STATUS HARGA]]="OK",ROUND(tblDetailHPP[[#This Row],[QTY PAKAI]]*tblDetailHPP[[#This Row],[HARGA PER SATUAN DASAR]],2),""))</f>
        <v>1000</v>
      </c>
      <c r="K366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66" s="34">
        <f>IF(tblDetailHPP[[#This Row],[KODE PRODUK]]="",0,IFERROR(INDEX('PENJUALAN (QTY)'!$AH$3:$AH$500,MATCH(tblDetailHPP[[#This Row],[KODE PRODUK]],'PENJUALAN (QTY)'!$A$3:$A$500,0)),0))</f>
        <v>0</v>
      </c>
      <c r="M366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67" spans="1:13">
      <c r="A367" s="34" t="s">
        <v>207</v>
      </c>
      <c r="B367" s="34" t="str">
        <f>IFERROR(INDEX(tbl_Produk[NAMA PRODUK],MATCH(tblDetailHPP[[#This Row],[KODE PRODUK]],tbl_Produk[KODE PRODUK],0)),"")</f>
        <v>TAHU CRISPY</v>
      </c>
      <c r="C367" s="34" t="s">
        <v>354</v>
      </c>
      <c r="D367" s="34" t="s">
        <v>174</v>
      </c>
      <c r="E367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67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TEPUNG TERIGU</v>
      </c>
      <c r="G367" s="88">
        <v>125</v>
      </c>
      <c r="H367" s="34" t="s">
        <v>5</v>
      </c>
      <c r="I367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8</v>
      </c>
      <c r="J367" s="89">
        <f>IF(tblDetailHPP[[#This Row],[KODE KOMPONEN]]="","",IF(tblDetailHPP[[#This Row],[STATUS HARGA]]="OK",ROUND(tblDetailHPP[[#This Row],[QTY PAKAI]]*tblDetailHPP[[#This Row],[HARGA PER SATUAN DASAR]],2),""))</f>
        <v>1000</v>
      </c>
      <c r="K367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67" s="34">
        <f>IF(tblDetailHPP[[#This Row],[KODE PRODUK]]="",0,IFERROR(INDEX('PENJUALAN (QTY)'!$AH$3:$AH$500,MATCH(tblDetailHPP[[#This Row],[KODE PRODUK]],'PENJUALAN (QTY)'!$A$3:$A$500,0)),0))</f>
        <v>0</v>
      </c>
      <c r="M367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  <row r="368" spans="1:13">
      <c r="A368" s="34" t="s">
        <v>208</v>
      </c>
      <c r="B368" s="34" t="str">
        <f>IFERROR(INDEX(tbl_Produk[NAMA PRODUK],MATCH(tblDetailHPP[[#This Row],[KODE PRODUK]],tbl_Produk[KODE PRODUK],0)),"")</f>
        <v>TOPPING KEJU</v>
      </c>
      <c r="C368" s="34" t="s">
        <v>354</v>
      </c>
      <c r="D368" s="34" t="s">
        <v>139</v>
      </c>
      <c r="E368" s="34" t="str">
        <f>IF(tblDetailHPP[[#This Row],[KODE KOMPONEN]]="","",IF(tblDetailHPP[[#This Row],[JENIS KOMPONEN]]="BAHAN",IFERROR(INDEX(tbl_BahanBaku[KATEGORI HPP],MATCH(tblDetailHPP[[#This Row],[KODE KOMPONEN]],tbl_BahanBaku[KODE KOMPONEN],0)),""),"PRODUK / SUBRESEP"))</f>
        <v>BUMBU &amp; PELENGKAP</v>
      </c>
      <c r="F368" s="34" t="str">
        <f>IF(tblDetailHPP[[#This Row],[KODE KOMPONEN]]="","",IF(tblDetailHPP[[#This Row],[JENIS KOMPONEN]]="BAHAN",IFERROR(INDEX(tbl_BahanBaku[NAMA KOMPONEN],MATCH(tblDetailHPP[[#This Row],[KODE KOMPONEN]],tbl_BahanBaku[KODE KOMPONEN],0)),""),IFERROR(INDEX(tbl_Produk[NAMA PRODUK],MATCH(tblDetailHPP[[#This Row],[KODE KOMPONEN]],tbl_Produk[KODE PRODUK],0)),"")))</f>
        <v>KEJU CHEDDAR</v>
      </c>
      <c r="G368" s="88">
        <v>31.3</v>
      </c>
      <c r="H368" s="34" t="s">
        <v>5</v>
      </c>
      <c r="I368" s="89">
        <f>IF(tblDetailHPP[[#This Row],[KODE KOMPONEN]]="","",IF(tblDetailHPP[[#This Row],[JENIS KOMPONEN]]="BAHAN",IFERROR(INDEX(tbl_BahanBaku[HARGA PER SATUAN DASAR],MATCH(tblDetailHPP[[#This Row],[KODE KOMPONEN]],tbl_BahanBaku[KODE KOMPONEN],0)),""),IFERROR(INDEX(tbl_Produk[HPP PER UNIT],MATCH(tblDetailHPP[[#This Row],[KODE KOMPONEN]],tbl_Produk[KODE PRODUK],0)),"")))</f>
        <v>52</v>
      </c>
      <c r="J368" s="89">
        <f>IF(tblDetailHPP[[#This Row],[KODE KOMPONEN]]="","",IF(tblDetailHPP[[#This Row],[STATUS HARGA]]="OK",ROUND(tblDetailHPP[[#This Row],[QTY PAKAI]]*tblDetailHPP[[#This Row],[HARGA PER SATUAN DASAR]],2),""))</f>
        <v>1627.6</v>
      </c>
      <c r="K368" s="34" t="str">
        <f>IF(tblDetailHPP[[#This Row],[KODE KOMPONEN]]="","",IF(OR(NOT(ISNUMBER(tblDetailHPP[[#This Row],[QTY PAKAI]])),tblDetailHPP[[#This Row],[QTY PAKAI]]&lt;=0,tblDetailHPP[[#This Row],[SATUAN PAKAI]]=""),"PERIKSA QTY/SATUAN",IF(tblDetailHPP[[#This Row],[JENIS KOMPONEN]]="BAHAN",IF(COUNTIF(tbl_BahanBaku[KODE KOMPONEN],tblDetailHPP[[#This Row],[KODE KOMPONEN]])=0,"BAHAN TIDAK TERDAFTAR",IF(OR(IFERROR(INDEX(tbl_BahanBaku[KUANTITAS ISI],MATCH(tblDetailHPP[[#This Row],[KODE KOMPONEN]],tbl_BahanBaku[KODE KOMPONEN],0)),0)&lt;=0,IFERROR(INDEX(tbl_BahanBaku[HARGA BELI TOTAL],MATCH(tblDetailHPP[[#This Row],[KODE KOMPONEN]],tbl_BahanBaku[KODE KOMPONEN],0)),0)&lt;=0),"HARGA BELUM TERSEDIA",IF(tblDetailHPP[[#This Row],[SATUAN PAKAI]]&lt;&gt;IFERROR(INDEX(tbl_BahanBaku[SATUAN ISI],MATCH(tblDetailHPP[[#This Row],[KODE KOMPONEN]],tbl_BahanBaku[KODE KOMPONEN],0)),""),"PERIKSA SATUAN","OK"))),IF(COUNTIF(tbl_Produk[KODE PRODUK],tblDetailHPP[[#This Row],[KODE KOMPONEN]])=0,"PRODUK TIDAK TERDAFTAR",IF(IFERROR(INDEX(tbl_Produk[HPP PER UNIT],MATCH(tblDetailHPP[[#This Row],[KODE KOMPONEN]],tbl_Produk[KODE PRODUK],0)),0)&lt;=0,"HPP PRODUK BELUM TERSEDIA","OK")))))</f>
        <v>OK</v>
      </c>
      <c r="L368" s="34">
        <f>IF(tblDetailHPP[[#This Row],[KODE PRODUK]]="",0,IFERROR(INDEX('PENJUALAN (QTY)'!$AH$3:$AH$500,MATCH(tblDetailHPP[[#This Row],[KODE PRODUK]],'PENJUALAN (QTY)'!$A$3:$A$500,0)),0))</f>
        <v>0</v>
      </c>
      <c r="M368" s="34">
        <f>IF(AND(tblDetailHPP[[#This Row],[KODE KOMPONEN]]&lt;&gt;"",tblDetailHPP[[#This Row],[STATUS HARGA]]="OK",ISNUMBER(tblDetailHPP[[#This Row],[BIAYA PEMAKAIAN]]),COUNTIFS(tblDetailHPP[KODE PRODUK],tblDetailHPP[[#This Row],[KODE PRODUK]],tblDetailHPP[STATUS HARGA],"OK")=COUNTIF(tblDetailHPP[KODE PRODUK],tblDetailHPP[[#This Row],[KODE PRODUK]])),tblDetailHPP[[#This Row],[BIAYA PEMAKAIAN]]*tblDetailHPP[[#This Row],[QTY TERJUAL]],0)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50AC2-2514-4128-BB39-CBFDBC41067F}">
  <sheetPr codeName="Sheet1"/>
  <dimension ref="A1:M72"/>
  <sheetViews>
    <sheetView zoomScale="75" zoomScaleNormal="7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" sqref="F3"/>
    </sheetView>
  </sheetViews>
  <sheetFormatPr defaultRowHeight="14.5"/>
  <cols>
    <col min="1" max="1" width="21.453125" style="3" customWidth="1"/>
    <col min="2" max="2" width="32.54296875" style="3" customWidth="1"/>
    <col min="3" max="3" width="27.1796875" customWidth="1"/>
    <col min="4" max="4" width="19.90625" style="4" customWidth="1"/>
    <col min="5" max="5" width="21" customWidth="1"/>
    <col min="6" max="6" width="23.7265625" style="4" customWidth="1"/>
    <col min="7" max="7" width="31.54296875" style="6" customWidth="1"/>
    <col min="8" max="8" width="70.36328125" style="5" customWidth="1"/>
  </cols>
  <sheetData>
    <row r="1" spans="1:11" s="14" customFormat="1" ht="30" customHeight="1">
      <c r="A1" s="14" t="s">
        <v>335</v>
      </c>
      <c r="B1" s="14" t="s">
        <v>334</v>
      </c>
      <c r="C1" s="14" t="s">
        <v>336</v>
      </c>
      <c r="D1" s="15" t="s">
        <v>337</v>
      </c>
      <c r="E1" s="14" t="s">
        <v>338</v>
      </c>
      <c r="F1" s="15" t="s">
        <v>339</v>
      </c>
      <c r="G1" s="15" t="s">
        <v>340</v>
      </c>
      <c r="H1" s="14" t="s">
        <v>2</v>
      </c>
    </row>
    <row r="2" spans="1:11">
      <c r="A2" s="8" t="s">
        <v>113</v>
      </c>
      <c r="B2" s="9" t="s">
        <v>257</v>
      </c>
      <c r="C2" s="7" t="s">
        <v>10</v>
      </c>
      <c r="D2" s="4">
        <v>24</v>
      </c>
      <c r="E2" t="s">
        <v>4</v>
      </c>
      <c r="F2" s="4">
        <v>51000</v>
      </c>
      <c r="G2" s="32">
        <f>IFERROR(tbl_BahanBaku[[#This Row],[HARGA BELI TOTAL]]/tbl_BahanBaku[[#This Row],[KUANTITAS ISI]], 0)</f>
        <v>2125</v>
      </c>
      <c r="H2" s="5" t="s">
        <v>106</v>
      </c>
      <c r="K2" s="16"/>
    </row>
    <row r="3" spans="1:11">
      <c r="A3" s="8" t="s">
        <v>114</v>
      </c>
      <c r="B3" s="9" t="s">
        <v>256</v>
      </c>
      <c r="C3" s="7" t="s">
        <v>11</v>
      </c>
      <c r="D3" s="4">
        <v>1000</v>
      </c>
      <c r="E3" t="s">
        <v>5</v>
      </c>
      <c r="F3" s="4">
        <v>26500</v>
      </c>
      <c r="G3" s="32">
        <f>IFERROR(tbl_BahanBaku[[#This Row],[HARGA BELI TOTAL]]/tbl_BahanBaku[[#This Row],[KUANTITAS ISI]], 0)</f>
        <v>26.5</v>
      </c>
      <c r="H3" s="5" t="s">
        <v>259</v>
      </c>
      <c r="K3" s="16"/>
    </row>
    <row r="4" spans="1:11">
      <c r="A4" s="8" t="s">
        <v>115</v>
      </c>
      <c r="B4" s="9" t="s">
        <v>307</v>
      </c>
      <c r="C4" s="7" t="s">
        <v>12</v>
      </c>
      <c r="D4" s="4">
        <v>1000</v>
      </c>
      <c r="E4" t="s">
        <v>5</v>
      </c>
      <c r="F4" s="4">
        <v>39000</v>
      </c>
      <c r="G4" s="32">
        <f>IFERROR(tbl_BahanBaku[[#This Row],[HARGA BELI TOTAL]]/tbl_BahanBaku[[#This Row],[KUANTITAS ISI]], 0)</f>
        <v>39</v>
      </c>
      <c r="H4" s="5" t="s">
        <v>75</v>
      </c>
      <c r="K4" s="16"/>
    </row>
    <row r="5" spans="1:11">
      <c r="A5" s="8" t="s">
        <v>116</v>
      </c>
      <c r="B5" s="9" t="s">
        <v>307</v>
      </c>
      <c r="C5" s="7" t="s">
        <v>13</v>
      </c>
      <c r="D5" s="4">
        <v>1000</v>
      </c>
      <c r="E5" t="s">
        <v>5</v>
      </c>
      <c r="F5" s="4">
        <v>12000</v>
      </c>
      <c r="G5" s="32">
        <f>IFERROR(tbl_BahanBaku[[#This Row],[HARGA BELI TOTAL]]/tbl_BahanBaku[[#This Row],[KUANTITAS ISI]], 0)</f>
        <v>12</v>
      </c>
      <c r="H5" s="5" t="s">
        <v>75</v>
      </c>
      <c r="K5" s="16"/>
    </row>
    <row r="6" spans="1:11">
      <c r="A6" s="8" t="s">
        <v>117</v>
      </c>
      <c r="B6" s="9" t="s">
        <v>307</v>
      </c>
      <c r="C6" s="7" t="s">
        <v>14</v>
      </c>
      <c r="D6" s="4">
        <v>1</v>
      </c>
      <c r="E6" t="s">
        <v>4</v>
      </c>
      <c r="F6" s="4">
        <v>3000</v>
      </c>
      <c r="G6" s="32">
        <f>IFERROR(tbl_BahanBaku[[#This Row],[HARGA BELI TOTAL]]/tbl_BahanBaku[[#This Row],[KUANTITAS ISI]], 0)</f>
        <v>3000</v>
      </c>
      <c r="H6" s="5" t="s">
        <v>258</v>
      </c>
      <c r="K6" s="16"/>
    </row>
    <row r="7" spans="1:11">
      <c r="A7" s="8" t="s">
        <v>118</v>
      </c>
      <c r="B7" s="9" t="s">
        <v>307</v>
      </c>
      <c r="C7" s="7" t="s">
        <v>15</v>
      </c>
      <c r="D7" s="4">
        <v>1000</v>
      </c>
      <c r="E7" t="s">
        <v>5</v>
      </c>
      <c r="F7" s="4">
        <v>40000</v>
      </c>
      <c r="G7" s="32">
        <f>IFERROR(tbl_BahanBaku[[#This Row],[HARGA BELI TOTAL]]/tbl_BahanBaku[[#This Row],[KUANTITAS ISI]], 0)</f>
        <v>40</v>
      </c>
      <c r="H7" s="5" t="s">
        <v>262</v>
      </c>
      <c r="K7" s="16"/>
    </row>
    <row r="8" spans="1:11">
      <c r="A8" s="8" t="s">
        <v>119</v>
      </c>
      <c r="B8" s="9" t="s">
        <v>307</v>
      </c>
      <c r="C8" s="7" t="s">
        <v>16</v>
      </c>
      <c r="D8" s="4">
        <v>1000</v>
      </c>
      <c r="E8" t="s">
        <v>5</v>
      </c>
      <c r="F8" s="4">
        <v>40000</v>
      </c>
      <c r="G8" s="32">
        <f>IFERROR(tbl_BahanBaku[[#This Row],[HARGA BELI TOTAL]]/tbl_BahanBaku[[#This Row],[KUANTITAS ISI]], 0)</f>
        <v>40</v>
      </c>
      <c r="H8" s="5" t="s">
        <v>262</v>
      </c>
      <c r="K8" s="16"/>
    </row>
    <row r="9" spans="1:11">
      <c r="A9" s="8" t="s">
        <v>120</v>
      </c>
      <c r="B9" s="9" t="s">
        <v>256</v>
      </c>
      <c r="C9" s="7" t="s">
        <v>17</v>
      </c>
      <c r="D9" s="4">
        <v>1000</v>
      </c>
      <c r="E9" t="s">
        <v>5</v>
      </c>
      <c r="F9" s="4">
        <v>14000</v>
      </c>
      <c r="G9" s="32">
        <f>IFERROR(tbl_BahanBaku[[#This Row],[HARGA BELI TOTAL]]/tbl_BahanBaku[[#This Row],[KUANTITAS ISI]], 0)</f>
        <v>14</v>
      </c>
      <c r="H9" s="5" t="s">
        <v>260</v>
      </c>
      <c r="K9" s="16"/>
    </row>
    <row r="10" spans="1:11">
      <c r="A10" s="8" t="s">
        <v>121</v>
      </c>
      <c r="B10" s="9" t="s">
        <v>307</v>
      </c>
      <c r="C10" s="7" t="s">
        <v>18</v>
      </c>
      <c r="D10" s="4">
        <v>3000</v>
      </c>
      <c r="E10" t="s">
        <v>5</v>
      </c>
      <c r="F10" s="4">
        <v>215000</v>
      </c>
      <c r="G10" s="32">
        <f>IFERROR(tbl_BahanBaku[[#This Row],[HARGA BELI TOTAL]]/tbl_BahanBaku[[#This Row],[KUANTITAS ISI]], 0)</f>
        <v>71.666666666666671</v>
      </c>
      <c r="H10" s="5" t="s">
        <v>261</v>
      </c>
      <c r="K10" s="16"/>
    </row>
    <row r="11" spans="1:11">
      <c r="A11" s="8" t="s">
        <v>122</v>
      </c>
      <c r="B11" s="9" t="s">
        <v>307</v>
      </c>
      <c r="C11" s="7" t="s">
        <v>19</v>
      </c>
      <c r="D11" s="4">
        <v>1000</v>
      </c>
      <c r="E11" t="s">
        <v>5</v>
      </c>
      <c r="F11" s="4">
        <v>30000</v>
      </c>
      <c r="G11" s="32">
        <f>IFERROR(tbl_BahanBaku[[#This Row],[HARGA BELI TOTAL]]/tbl_BahanBaku[[#This Row],[KUANTITAS ISI]], 0)</f>
        <v>30</v>
      </c>
      <c r="H11" s="5" t="s">
        <v>263</v>
      </c>
    </row>
    <row r="12" spans="1:11" ht="15" customHeight="1">
      <c r="A12" s="8" t="s">
        <v>123</v>
      </c>
      <c r="B12" s="9" t="s">
        <v>307</v>
      </c>
      <c r="C12" s="7" t="s">
        <v>20</v>
      </c>
      <c r="D12" s="4">
        <v>50</v>
      </c>
      <c r="E12" t="s">
        <v>5</v>
      </c>
      <c r="F12" s="4">
        <v>5000</v>
      </c>
      <c r="G12" s="32">
        <f>IFERROR(tbl_BahanBaku[[#This Row],[HARGA BELI TOTAL]]/tbl_BahanBaku[[#This Row],[KUANTITAS ISI]], 0)</f>
        <v>100</v>
      </c>
      <c r="H12" s="5" t="s">
        <v>264</v>
      </c>
    </row>
    <row r="13" spans="1:11" s="83" customFormat="1">
      <c r="A13" s="80" t="s">
        <v>124</v>
      </c>
      <c r="B13" s="9" t="s">
        <v>307</v>
      </c>
      <c r="C13" s="81" t="s">
        <v>21</v>
      </c>
      <c r="D13" s="82">
        <v>1000</v>
      </c>
      <c r="E13" s="83" t="s">
        <v>5</v>
      </c>
      <c r="F13" s="82">
        <v>40000</v>
      </c>
      <c r="G13" s="32">
        <f>IFERROR(tbl_BahanBaku[[#This Row],[HARGA BELI TOTAL]]/tbl_BahanBaku[[#This Row],[KUANTITAS ISI]], 0)</f>
        <v>40</v>
      </c>
      <c r="H13" s="84" t="s">
        <v>265</v>
      </c>
    </row>
    <row r="14" spans="1:11" s="83" customFormat="1">
      <c r="A14" s="80" t="s">
        <v>125</v>
      </c>
      <c r="B14" s="9" t="s">
        <v>307</v>
      </c>
      <c r="C14" s="81" t="s">
        <v>22</v>
      </c>
      <c r="D14" s="82">
        <v>1000</v>
      </c>
      <c r="E14" s="83" t="s">
        <v>5</v>
      </c>
      <c r="F14" s="82">
        <v>40000</v>
      </c>
      <c r="G14" s="32">
        <f>IFERROR(tbl_BahanBaku[[#This Row],[HARGA BELI TOTAL]]/tbl_BahanBaku[[#This Row],[KUANTITAS ISI]], 0)</f>
        <v>40</v>
      </c>
      <c r="H14" s="84" t="s">
        <v>266</v>
      </c>
    </row>
    <row r="15" spans="1:11" s="83" customFormat="1">
      <c r="A15" s="80" t="s">
        <v>126</v>
      </c>
      <c r="B15" s="9" t="s">
        <v>307</v>
      </c>
      <c r="C15" s="81" t="s">
        <v>23</v>
      </c>
      <c r="D15" s="82">
        <v>1000</v>
      </c>
      <c r="E15" s="83" t="s">
        <v>5</v>
      </c>
      <c r="F15" s="82">
        <v>60000</v>
      </c>
      <c r="G15" s="32">
        <f>IFERROR(tbl_BahanBaku[[#This Row],[HARGA BELI TOTAL]]/tbl_BahanBaku[[#This Row],[KUANTITAS ISI]], 0)</f>
        <v>60</v>
      </c>
      <c r="H15" s="84" t="s">
        <v>267</v>
      </c>
    </row>
    <row r="16" spans="1:11">
      <c r="A16" s="8" t="s">
        <v>127</v>
      </c>
      <c r="B16" s="9" t="s">
        <v>308</v>
      </c>
      <c r="C16" s="7" t="s">
        <v>24</v>
      </c>
      <c r="D16" s="4">
        <v>50</v>
      </c>
      <c r="E16" t="s">
        <v>4</v>
      </c>
      <c r="F16" s="4">
        <v>16000</v>
      </c>
      <c r="G16" s="32">
        <f>IFERROR(tbl_BahanBaku[[#This Row],[HARGA BELI TOTAL]]/tbl_BahanBaku[[#This Row],[KUANTITAS ISI]], 0)</f>
        <v>320</v>
      </c>
      <c r="H16" s="5" t="s">
        <v>268</v>
      </c>
    </row>
    <row r="17" spans="1:11">
      <c r="A17" s="8" t="s">
        <v>128</v>
      </c>
      <c r="B17" s="9" t="s">
        <v>308</v>
      </c>
      <c r="C17" s="7" t="s">
        <v>25</v>
      </c>
      <c r="D17" s="4">
        <v>50</v>
      </c>
      <c r="E17" t="s">
        <v>4</v>
      </c>
      <c r="F17" s="4">
        <v>22000</v>
      </c>
      <c r="G17" s="32">
        <f>IFERROR(tbl_BahanBaku[[#This Row],[HARGA BELI TOTAL]]/tbl_BahanBaku[[#This Row],[KUANTITAS ISI]], 0)</f>
        <v>440</v>
      </c>
      <c r="H17" s="5" t="s">
        <v>269</v>
      </c>
    </row>
    <row r="18" spans="1:11">
      <c r="A18" s="8" t="s">
        <v>129</v>
      </c>
      <c r="B18" s="9" t="s">
        <v>308</v>
      </c>
      <c r="C18" s="7" t="s">
        <v>26</v>
      </c>
      <c r="D18" s="4">
        <v>50</v>
      </c>
      <c r="E18" t="s">
        <v>4</v>
      </c>
      <c r="F18" s="4">
        <v>11000</v>
      </c>
      <c r="G18" s="32">
        <f>IFERROR(tbl_BahanBaku[[#This Row],[HARGA BELI TOTAL]]/tbl_BahanBaku[[#This Row],[KUANTITAS ISI]], 0)</f>
        <v>220</v>
      </c>
      <c r="H18" s="5" t="s">
        <v>270</v>
      </c>
    </row>
    <row r="19" spans="1:11">
      <c r="A19" s="8" t="s">
        <v>130</v>
      </c>
      <c r="B19" s="9" t="s">
        <v>308</v>
      </c>
      <c r="C19" s="7" t="s">
        <v>27</v>
      </c>
      <c r="D19" s="4">
        <v>50</v>
      </c>
      <c r="E19" t="s">
        <v>4</v>
      </c>
      <c r="F19" s="4">
        <v>15000</v>
      </c>
      <c r="G19" s="32">
        <f>IFERROR(tbl_BahanBaku[[#This Row],[HARGA BELI TOTAL]]/tbl_BahanBaku[[#This Row],[KUANTITAS ISI]], 0)</f>
        <v>300</v>
      </c>
      <c r="H19" s="5" t="s">
        <v>271</v>
      </c>
    </row>
    <row r="20" spans="1:11">
      <c r="A20" s="8" t="s">
        <v>220</v>
      </c>
      <c r="B20" s="9" t="s">
        <v>307</v>
      </c>
      <c r="C20" s="7" t="s">
        <v>221</v>
      </c>
      <c r="D20" s="4">
        <v>50</v>
      </c>
      <c r="E20" t="s">
        <v>110</v>
      </c>
      <c r="F20" s="4">
        <v>2000</v>
      </c>
      <c r="G20" s="32">
        <f>IFERROR(tbl_BahanBaku[[#This Row],[HARGA BELI TOTAL]]/tbl_BahanBaku[[#This Row],[KUANTITAS ISI]], 0)</f>
        <v>40</v>
      </c>
      <c r="H20" s="5" t="s">
        <v>272</v>
      </c>
    </row>
    <row r="21" spans="1:11">
      <c r="A21" s="8" t="s">
        <v>131</v>
      </c>
      <c r="B21" s="9" t="s">
        <v>257</v>
      </c>
      <c r="C21" s="7" t="s">
        <v>28</v>
      </c>
      <c r="D21" s="4">
        <v>10000</v>
      </c>
      <c r="E21" t="s">
        <v>5</v>
      </c>
      <c r="F21" s="4">
        <v>11000</v>
      </c>
      <c r="G21" s="32">
        <f>IFERROR(tbl_BahanBaku[[#This Row],[HARGA BELI TOTAL]]/tbl_BahanBaku[[#This Row],[KUANTITAS ISI]], 0)</f>
        <v>1.1000000000000001</v>
      </c>
      <c r="H21" s="5" t="s">
        <v>273</v>
      </c>
    </row>
    <row r="22" spans="1:11">
      <c r="A22" s="8" t="s">
        <v>132</v>
      </c>
      <c r="B22" s="9" t="s">
        <v>256</v>
      </c>
      <c r="C22" s="7" t="s">
        <v>29</v>
      </c>
      <c r="D22" s="4">
        <v>1000</v>
      </c>
      <c r="E22" t="s">
        <v>5</v>
      </c>
      <c r="F22" s="4">
        <v>30000</v>
      </c>
      <c r="G22" s="32">
        <f>IFERROR(tbl_BahanBaku[[#This Row],[HARGA BELI TOTAL]]/tbl_BahanBaku[[#This Row],[KUANTITAS ISI]], 0)</f>
        <v>30</v>
      </c>
      <c r="H22" s="5" t="s">
        <v>274</v>
      </c>
    </row>
    <row r="23" spans="1:11">
      <c r="A23" s="8" t="s">
        <v>133</v>
      </c>
      <c r="B23" s="9" t="s">
        <v>307</v>
      </c>
      <c r="C23" s="7" t="s">
        <v>30</v>
      </c>
      <c r="D23" s="4">
        <v>1000</v>
      </c>
      <c r="E23" t="s">
        <v>5</v>
      </c>
      <c r="F23" s="4">
        <v>30000</v>
      </c>
      <c r="G23" s="32">
        <f>IFERROR(tbl_BahanBaku[[#This Row],[HARGA BELI TOTAL]]/tbl_BahanBaku[[#This Row],[KUANTITAS ISI]], 0)</f>
        <v>30</v>
      </c>
      <c r="H23" s="5" t="s">
        <v>75</v>
      </c>
    </row>
    <row r="24" spans="1:11">
      <c r="A24" s="8" t="s">
        <v>134</v>
      </c>
      <c r="B24" s="9" t="s">
        <v>307</v>
      </c>
      <c r="C24" s="7" t="s">
        <v>31</v>
      </c>
      <c r="D24" s="4">
        <v>1000</v>
      </c>
      <c r="E24" t="s">
        <v>5</v>
      </c>
      <c r="F24" s="4">
        <v>15000</v>
      </c>
      <c r="G24" s="32">
        <f>IFERROR(tbl_BahanBaku[[#This Row],[HARGA BELI TOTAL]]/tbl_BahanBaku[[#This Row],[KUANTITAS ISI]], 0)</f>
        <v>15</v>
      </c>
      <c r="H24" s="5" t="s">
        <v>75</v>
      </c>
    </row>
    <row r="25" spans="1:11">
      <c r="A25" s="8" t="s">
        <v>135</v>
      </c>
      <c r="B25" s="9" t="s">
        <v>307</v>
      </c>
      <c r="C25" s="7" t="s">
        <v>32</v>
      </c>
      <c r="D25" s="4">
        <v>250</v>
      </c>
      <c r="E25" t="s">
        <v>5</v>
      </c>
      <c r="F25" s="4">
        <v>6000</v>
      </c>
      <c r="G25" s="32">
        <f>IFERROR(tbl_BahanBaku[[#This Row],[HARGA BELI TOTAL]]/tbl_BahanBaku[[#This Row],[KUANTITAS ISI]], 0)</f>
        <v>24</v>
      </c>
      <c r="H25" s="5" t="s">
        <v>275</v>
      </c>
    </row>
    <row r="26" spans="1:11">
      <c r="A26" s="8" t="s">
        <v>136</v>
      </c>
      <c r="B26" s="9" t="s">
        <v>257</v>
      </c>
      <c r="C26" s="7" t="s">
        <v>33</v>
      </c>
      <c r="D26" s="4">
        <v>1000</v>
      </c>
      <c r="E26" t="s">
        <v>5</v>
      </c>
      <c r="F26" s="4">
        <v>18000</v>
      </c>
      <c r="G26" s="32">
        <f>IFERROR(tbl_BahanBaku[[#This Row],[HARGA BELI TOTAL]]/tbl_BahanBaku[[#This Row],[KUANTITAS ISI]], 0)</f>
        <v>18</v>
      </c>
      <c r="H26" s="5" t="s">
        <v>276</v>
      </c>
    </row>
    <row r="27" spans="1:11">
      <c r="A27" s="8" t="s">
        <v>137</v>
      </c>
      <c r="B27" s="9" t="s">
        <v>308</v>
      </c>
      <c r="C27" s="7" t="s">
        <v>34</v>
      </c>
      <c r="D27" s="4">
        <v>100</v>
      </c>
      <c r="E27" t="s">
        <v>4</v>
      </c>
      <c r="F27" s="4">
        <v>7000</v>
      </c>
      <c r="G27" s="32">
        <f>IFERROR(tbl_BahanBaku[[#This Row],[HARGA BELI TOTAL]]/tbl_BahanBaku[[#This Row],[KUANTITAS ISI]], 0)</f>
        <v>70</v>
      </c>
      <c r="H27" s="5" t="s">
        <v>277</v>
      </c>
    </row>
    <row r="28" spans="1:11">
      <c r="A28" s="8" t="s">
        <v>138</v>
      </c>
      <c r="B28" s="9" t="s">
        <v>256</v>
      </c>
      <c r="C28" s="7" t="s">
        <v>35</v>
      </c>
      <c r="D28" s="4">
        <v>200</v>
      </c>
      <c r="E28" t="s">
        <v>5</v>
      </c>
      <c r="F28" s="4">
        <v>5000</v>
      </c>
      <c r="G28" s="32">
        <f>IFERROR(tbl_BahanBaku[[#This Row],[HARGA BELI TOTAL]]/tbl_BahanBaku[[#This Row],[KUANTITAS ISI]], 0)</f>
        <v>25</v>
      </c>
      <c r="H28" s="5" t="s">
        <v>278</v>
      </c>
    </row>
    <row r="29" spans="1:11">
      <c r="A29" s="8" t="s">
        <v>139</v>
      </c>
      <c r="B29" s="9" t="s">
        <v>307</v>
      </c>
      <c r="C29" s="7" t="s">
        <v>36</v>
      </c>
      <c r="D29" s="4">
        <v>250</v>
      </c>
      <c r="E29" t="s">
        <v>5</v>
      </c>
      <c r="F29" s="4">
        <v>13000</v>
      </c>
      <c r="G29" s="32">
        <f>IFERROR(tbl_BahanBaku[[#This Row],[HARGA BELI TOTAL]]/tbl_BahanBaku[[#This Row],[KUANTITAS ISI]], 0)</f>
        <v>52</v>
      </c>
      <c r="H29" s="5" t="s">
        <v>279</v>
      </c>
    </row>
    <row r="30" spans="1:11">
      <c r="A30" s="8" t="s">
        <v>140</v>
      </c>
      <c r="B30" s="9" t="s">
        <v>257</v>
      </c>
      <c r="C30" s="7" t="s">
        <v>37</v>
      </c>
      <c r="G30" s="32">
        <f>IFERROR(tbl_BahanBaku[[#This Row],[HARGA BELI TOTAL]]/tbl_BahanBaku[[#This Row],[KUANTITAS ISI]], 0)</f>
        <v>0</v>
      </c>
      <c r="H30" s="5" t="s">
        <v>280</v>
      </c>
    </row>
    <row r="31" spans="1:11">
      <c r="A31" s="8" t="s">
        <v>142</v>
      </c>
      <c r="B31" s="9" t="s">
        <v>309</v>
      </c>
      <c r="C31" s="7" t="s">
        <v>209</v>
      </c>
      <c r="D31" s="4">
        <v>700</v>
      </c>
      <c r="E31" t="s">
        <v>222</v>
      </c>
      <c r="F31" s="4">
        <v>3500</v>
      </c>
      <c r="G31" s="32">
        <f>IFERROR(tbl_BahanBaku[[#This Row],[HARGA BELI TOTAL]]/tbl_BahanBaku[[#This Row],[KUANTITAS ISI]], 0)</f>
        <v>5</v>
      </c>
      <c r="H31" s="5" t="s">
        <v>223</v>
      </c>
    </row>
    <row r="32" spans="1:11">
      <c r="A32" s="8" t="s">
        <v>141</v>
      </c>
      <c r="B32" s="9" t="s">
        <v>257</v>
      </c>
      <c r="C32" s="7" t="s">
        <v>38</v>
      </c>
      <c r="G32" s="32">
        <f>IFERROR(tbl_BahanBaku[[#This Row],[HARGA BELI TOTAL]]/tbl_BahanBaku[[#This Row],[KUANTITAS ISI]], 0)</f>
        <v>0</v>
      </c>
      <c r="H32" s="5" t="s">
        <v>280</v>
      </c>
      <c r="K32" s="16"/>
    </row>
    <row r="33" spans="1:12">
      <c r="A33" s="8" t="s">
        <v>143</v>
      </c>
      <c r="B33" s="9" t="s">
        <v>309</v>
      </c>
      <c r="C33" s="7" t="s">
        <v>39</v>
      </c>
      <c r="D33" s="4">
        <v>3000</v>
      </c>
      <c r="E33" t="s">
        <v>5</v>
      </c>
      <c r="F33" s="4">
        <v>23000</v>
      </c>
      <c r="G33" s="32">
        <f>IFERROR(tbl_BahanBaku[[#This Row],[HARGA BELI TOTAL]]/tbl_BahanBaku[[#This Row],[KUANTITAS ISI]], 0)</f>
        <v>7.666666666666667</v>
      </c>
      <c r="H33" s="5" t="s">
        <v>73</v>
      </c>
      <c r="K33" s="16"/>
    </row>
    <row r="34" spans="1:12">
      <c r="A34" s="8" t="s">
        <v>144</v>
      </c>
      <c r="B34" s="9" t="s">
        <v>308</v>
      </c>
      <c r="C34" s="7" t="s">
        <v>40</v>
      </c>
      <c r="D34" s="4">
        <v>100</v>
      </c>
      <c r="E34" t="s">
        <v>4</v>
      </c>
      <c r="F34" s="4">
        <v>60000</v>
      </c>
      <c r="G34" s="32">
        <f>IFERROR(tbl_BahanBaku[[#This Row],[HARGA BELI TOTAL]]/tbl_BahanBaku[[#This Row],[KUANTITAS ISI]], 0)</f>
        <v>600</v>
      </c>
      <c r="H34" s="5" t="s">
        <v>281</v>
      </c>
      <c r="K34" s="16"/>
    </row>
    <row r="35" spans="1:12">
      <c r="A35" s="8" t="s">
        <v>145</v>
      </c>
      <c r="B35" s="9" t="s">
        <v>308</v>
      </c>
      <c r="C35" s="7" t="s">
        <v>41</v>
      </c>
      <c r="D35" s="4">
        <v>100</v>
      </c>
      <c r="E35" t="s">
        <v>4</v>
      </c>
      <c r="F35" s="4">
        <v>55000</v>
      </c>
      <c r="G35" s="32">
        <f>IFERROR(tbl_BahanBaku[[#This Row],[HARGA BELI TOTAL]]/tbl_BahanBaku[[#This Row],[KUANTITAS ISI]], 0)</f>
        <v>550</v>
      </c>
      <c r="H35" s="5" t="s">
        <v>281</v>
      </c>
      <c r="K35" s="16"/>
    </row>
    <row r="36" spans="1:12">
      <c r="A36" s="8" t="s">
        <v>146</v>
      </c>
      <c r="B36" s="9" t="s">
        <v>308</v>
      </c>
      <c r="C36" s="7" t="s">
        <v>42</v>
      </c>
      <c r="D36" s="4">
        <v>100</v>
      </c>
      <c r="E36" t="s">
        <v>4</v>
      </c>
      <c r="F36" s="4">
        <v>45000</v>
      </c>
      <c r="G36" s="32">
        <f>IFERROR(tbl_BahanBaku[[#This Row],[HARGA BELI TOTAL]]/tbl_BahanBaku[[#This Row],[KUANTITAS ISI]], 0)</f>
        <v>450</v>
      </c>
      <c r="H36" s="5" t="s">
        <v>282</v>
      </c>
      <c r="K36" s="16"/>
    </row>
    <row r="37" spans="1:12">
      <c r="A37" s="8" t="s">
        <v>153</v>
      </c>
      <c r="B37" s="9" t="s">
        <v>308</v>
      </c>
      <c r="C37" s="7" t="s">
        <v>43</v>
      </c>
      <c r="D37" s="4">
        <v>100</v>
      </c>
      <c r="E37" t="s">
        <v>4</v>
      </c>
      <c r="F37" s="4">
        <v>45000</v>
      </c>
      <c r="G37" s="32">
        <f>IFERROR(tbl_BahanBaku[[#This Row],[HARGA BELI TOTAL]]/tbl_BahanBaku[[#This Row],[KUANTITAS ISI]], 0)</f>
        <v>450</v>
      </c>
      <c r="H37" s="5" t="s">
        <v>283</v>
      </c>
      <c r="K37" s="16"/>
    </row>
    <row r="38" spans="1:12">
      <c r="A38" s="8" t="s">
        <v>147</v>
      </c>
      <c r="B38" s="9" t="s">
        <v>257</v>
      </c>
      <c r="C38" s="7" t="s">
        <v>44</v>
      </c>
      <c r="D38" s="4">
        <v>30</v>
      </c>
      <c r="E38" t="s">
        <v>4</v>
      </c>
      <c r="F38" s="4">
        <v>45000</v>
      </c>
      <c r="G38" s="32">
        <f>IFERROR(tbl_BahanBaku[[#This Row],[HARGA BELI TOTAL]]/tbl_BahanBaku[[#This Row],[KUANTITAS ISI]], 0)</f>
        <v>1500</v>
      </c>
      <c r="H38" s="5" t="s">
        <v>285</v>
      </c>
      <c r="K38" s="16"/>
    </row>
    <row r="39" spans="1:12">
      <c r="A39" s="8" t="s">
        <v>148</v>
      </c>
      <c r="B39" s="9" t="s">
        <v>257</v>
      </c>
      <c r="C39" s="7" t="s">
        <v>45</v>
      </c>
      <c r="G39" s="32">
        <f>IFERROR(tbl_BahanBaku[[#This Row],[HARGA BELI TOTAL]]/tbl_BahanBaku[[#This Row],[KUANTITAS ISI]], 0)</f>
        <v>0</v>
      </c>
      <c r="H39" s="5" t="s">
        <v>286</v>
      </c>
    </row>
    <row r="40" spans="1:12">
      <c r="A40" s="8" t="s">
        <v>149</v>
      </c>
      <c r="B40" s="9" t="s">
        <v>257</v>
      </c>
      <c r="C40" s="7" t="s">
        <v>46</v>
      </c>
      <c r="D40" s="4">
        <v>960</v>
      </c>
      <c r="E40" t="s">
        <v>5</v>
      </c>
      <c r="F40" s="4">
        <v>110000</v>
      </c>
      <c r="G40" s="32">
        <f>IFERROR(tbl_BahanBaku[[#This Row],[HARGA BELI TOTAL]]/tbl_BahanBaku[[#This Row],[KUANTITAS ISI]], 0)</f>
        <v>114.58333333333333</v>
      </c>
      <c r="H40" s="5" t="s">
        <v>284</v>
      </c>
    </row>
    <row r="41" spans="1:12">
      <c r="A41" s="8" t="s">
        <v>150</v>
      </c>
      <c r="B41" s="9" t="s">
        <v>307</v>
      </c>
      <c r="C41" s="7" t="s">
        <v>3</v>
      </c>
      <c r="D41" s="4">
        <v>1000</v>
      </c>
      <c r="E41" t="s">
        <v>6</v>
      </c>
      <c r="F41" s="4">
        <v>23000</v>
      </c>
      <c r="G41" s="32">
        <f>IFERROR(tbl_BahanBaku[[#This Row],[HARGA BELI TOTAL]]/tbl_BahanBaku[[#This Row],[KUANTITAS ISI]], 0)</f>
        <v>23</v>
      </c>
      <c r="H41" s="5" t="s">
        <v>287</v>
      </c>
    </row>
    <row r="42" spans="1:12">
      <c r="A42" s="8" t="s">
        <v>151</v>
      </c>
      <c r="B42" s="9" t="s">
        <v>307</v>
      </c>
      <c r="C42" s="7" t="s">
        <v>47</v>
      </c>
      <c r="D42" s="4">
        <v>250</v>
      </c>
      <c r="E42" t="s">
        <v>5</v>
      </c>
      <c r="F42" s="4">
        <v>19000</v>
      </c>
      <c r="G42" s="32">
        <f>IFERROR(tbl_BahanBaku[[#This Row],[HARGA BELI TOTAL]]/tbl_BahanBaku[[#This Row],[KUANTITAS ISI]], 0)</f>
        <v>76</v>
      </c>
      <c r="H42" s="5" t="s">
        <v>75</v>
      </c>
    </row>
    <row r="43" spans="1:12">
      <c r="A43" s="8" t="s">
        <v>152</v>
      </c>
      <c r="B43" s="9" t="s">
        <v>307</v>
      </c>
      <c r="C43" s="7" t="s">
        <v>48</v>
      </c>
      <c r="D43" s="4">
        <v>70</v>
      </c>
      <c r="E43" t="s">
        <v>110</v>
      </c>
      <c r="F43" s="4">
        <v>10000</v>
      </c>
      <c r="G43" s="32">
        <f>IFERROR(tbl_BahanBaku[[#This Row],[HARGA BELI TOTAL]]/tbl_BahanBaku[[#This Row],[KUANTITAS ISI]], 0)</f>
        <v>142.85714285714286</v>
      </c>
      <c r="H43" s="5" t="s">
        <v>288</v>
      </c>
      <c r="K43" s="16"/>
    </row>
    <row r="44" spans="1:12">
      <c r="A44" s="8" t="s">
        <v>226</v>
      </c>
      <c r="B44" s="9" t="s">
        <v>257</v>
      </c>
      <c r="C44" s="7" t="s">
        <v>227</v>
      </c>
      <c r="D44" s="4">
        <v>1000</v>
      </c>
      <c r="E44" t="s">
        <v>5</v>
      </c>
      <c r="F44" s="4">
        <v>55000</v>
      </c>
      <c r="G44" s="32">
        <f>IFERROR(tbl_BahanBaku[[#This Row],[HARGA BELI TOTAL]]/tbl_BahanBaku[[#This Row],[KUANTITAS ISI]], 0)</f>
        <v>55</v>
      </c>
      <c r="H44" s="5" t="s">
        <v>289</v>
      </c>
      <c r="K44" s="16"/>
    </row>
    <row r="45" spans="1:12">
      <c r="A45" s="8" t="s">
        <v>154</v>
      </c>
      <c r="B45" s="9" t="s">
        <v>308</v>
      </c>
      <c r="C45" s="7" t="s">
        <v>49</v>
      </c>
      <c r="D45" s="4">
        <v>100</v>
      </c>
      <c r="E45" t="s">
        <v>4</v>
      </c>
      <c r="F45" s="4">
        <v>24000</v>
      </c>
      <c r="G45" s="32">
        <f>IFERROR(tbl_BahanBaku[[#This Row],[HARGA BELI TOTAL]]/tbl_BahanBaku[[#This Row],[KUANTITAS ISI]], 0)</f>
        <v>240</v>
      </c>
      <c r="H45" s="5" t="s">
        <v>290</v>
      </c>
      <c r="K45" s="16"/>
    </row>
    <row r="46" spans="1:12">
      <c r="A46" s="8" t="s">
        <v>155</v>
      </c>
      <c r="B46" s="9" t="s">
        <v>308</v>
      </c>
      <c r="C46" s="7" t="s">
        <v>50</v>
      </c>
      <c r="D46" s="4">
        <v>100</v>
      </c>
      <c r="E46" t="s">
        <v>4</v>
      </c>
      <c r="F46" s="4">
        <v>24000</v>
      </c>
      <c r="G46" s="32">
        <f>IFERROR(tbl_BahanBaku[[#This Row],[HARGA BELI TOTAL]]/tbl_BahanBaku[[#This Row],[KUANTITAS ISI]], 0)</f>
        <v>240</v>
      </c>
      <c r="H46" s="5" t="s">
        <v>74</v>
      </c>
      <c r="K46" s="16"/>
    </row>
    <row r="47" spans="1:12">
      <c r="A47" s="8" t="s">
        <v>156</v>
      </c>
      <c r="B47" s="9" t="s">
        <v>308</v>
      </c>
      <c r="C47" s="7" t="s">
        <v>51</v>
      </c>
      <c r="D47" s="4">
        <v>100</v>
      </c>
      <c r="E47" t="s">
        <v>76</v>
      </c>
      <c r="F47" s="4">
        <v>10000</v>
      </c>
      <c r="G47" s="32">
        <f>IFERROR(tbl_BahanBaku[[#This Row],[HARGA BELI TOTAL]]/tbl_BahanBaku[[#This Row],[KUANTITAS ISI]], 0)</f>
        <v>100</v>
      </c>
      <c r="H47" s="5" t="s">
        <v>291</v>
      </c>
      <c r="K47" s="16"/>
      <c r="L47" s="16"/>
    </row>
    <row r="48" spans="1:12">
      <c r="A48" s="8" t="s">
        <v>157</v>
      </c>
      <c r="B48" s="9" t="s">
        <v>308</v>
      </c>
      <c r="C48" s="7" t="s">
        <v>52</v>
      </c>
      <c r="D48" s="4">
        <v>500</v>
      </c>
      <c r="E48" t="s">
        <v>4</v>
      </c>
      <c r="F48" s="4">
        <v>60000</v>
      </c>
      <c r="G48" s="32">
        <f>IFERROR(tbl_BahanBaku[[#This Row],[HARGA BELI TOTAL]]/tbl_BahanBaku[[#This Row],[KUANTITAS ISI]], 0)</f>
        <v>120</v>
      </c>
      <c r="H48" s="5" t="s">
        <v>292</v>
      </c>
      <c r="K48" s="16"/>
      <c r="L48" s="16"/>
    </row>
    <row r="49" spans="1:13">
      <c r="A49" s="8" t="s">
        <v>158</v>
      </c>
      <c r="B49" s="9" t="s">
        <v>308</v>
      </c>
      <c r="C49" s="7" t="s">
        <v>53</v>
      </c>
      <c r="D49" s="4">
        <v>50</v>
      </c>
      <c r="E49" t="s">
        <v>4</v>
      </c>
      <c r="F49" s="4">
        <v>14000</v>
      </c>
      <c r="G49" s="32">
        <f>IFERROR(tbl_BahanBaku[[#This Row],[HARGA BELI TOTAL]]/tbl_BahanBaku[[#This Row],[KUANTITAS ISI]], 0)</f>
        <v>280</v>
      </c>
      <c r="H49" s="5" t="s">
        <v>108</v>
      </c>
      <c r="K49" s="16"/>
      <c r="L49" s="16"/>
      <c r="M49" s="16"/>
    </row>
    <row r="50" spans="1:13">
      <c r="A50" s="8" t="s">
        <v>159</v>
      </c>
      <c r="B50" s="9" t="s">
        <v>308</v>
      </c>
      <c r="C50" s="7" t="s">
        <v>54</v>
      </c>
      <c r="D50" s="4">
        <v>50</v>
      </c>
      <c r="E50" t="s">
        <v>4</v>
      </c>
      <c r="F50" s="4">
        <v>14000</v>
      </c>
      <c r="G50" s="32">
        <f>IFERROR(tbl_BahanBaku[[#This Row],[HARGA BELI TOTAL]]/tbl_BahanBaku[[#This Row],[KUANTITAS ISI]], 0)</f>
        <v>280</v>
      </c>
      <c r="H50" s="5" t="s">
        <v>109</v>
      </c>
      <c r="K50" s="16"/>
      <c r="L50" s="16"/>
      <c r="M50" s="16"/>
    </row>
    <row r="51" spans="1:13">
      <c r="A51" s="8" t="s">
        <v>160</v>
      </c>
      <c r="B51" s="9" t="s">
        <v>308</v>
      </c>
      <c r="C51" s="7" t="s">
        <v>55</v>
      </c>
      <c r="D51" s="4">
        <v>40</v>
      </c>
      <c r="E51" t="s">
        <v>4</v>
      </c>
      <c r="F51" s="4">
        <v>14000</v>
      </c>
      <c r="G51" s="32">
        <f>IFERROR(tbl_BahanBaku[[#This Row],[HARGA BELI TOTAL]]/tbl_BahanBaku[[#This Row],[KUANTITAS ISI]], 0)</f>
        <v>350</v>
      </c>
      <c r="H51" s="5" t="s">
        <v>74</v>
      </c>
      <c r="K51" s="16"/>
      <c r="L51" s="16"/>
      <c r="M51" s="16"/>
    </row>
    <row r="52" spans="1:13">
      <c r="A52" s="8" t="s">
        <v>167</v>
      </c>
      <c r="B52" s="9" t="s">
        <v>308</v>
      </c>
      <c r="C52" s="7" t="s">
        <v>56</v>
      </c>
      <c r="D52" s="4">
        <v>30</v>
      </c>
      <c r="E52" t="s">
        <v>4</v>
      </c>
      <c r="F52" s="4">
        <v>14000</v>
      </c>
      <c r="G52" s="32">
        <f>IFERROR(tbl_BahanBaku[[#This Row],[HARGA BELI TOTAL]]/tbl_BahanBaku[[#This Row],[KUANTITAS ISI]], 0)</f>
        <v>466.66666666666669</v>
      </c>
      <c r="H52" s="5" t="s">
        <v>107</v>
      </c>
      <c r="K52" s="16"/>
      <c r="L52" s="16"/>
      <c r="M52" s="16"/>
    </row>
    <row r="53" spans="1:13">
      <c r="A53" s="8" t="s">
        <v>161</v>
      </c>
      <c r="B53" s="9" t="s">
        <v>307</v>
      </c>
      <c r="C53" s="7" t="s">
        <v>57</v>
      </c>
      <c r="D53" s="4">
        <v>460</v>
      </c>
      <c r="E53" t="s">
        <v>5</v>
      </c>
      <c r="F53" s="4">
        <v>20000</v>
      </c>
      <c r="G53" s="32">
        <f>IFERROR(tbl_BahanBaku[[#This Row],[HARGA BELI TOTAL]]/tbl_BahanBaku[[#This Row],[KUANTITAS ISI]], 0)</f>
        <v>43.478260869565219</v>
      </c>
      <c r="H53" s="5" t="s">
        <v>75</v>
      </c>
      <c r="K53" s="16"/>
      <c r="L53" s="16"/>
      <c r="M53" s="16"/>
    </row>
    <row r="54" spans="1:13">
      <c r="A54" s="8" t="s">
        <v>162</v>
      </c>
      <c r="B54" s="9" t="s">
        <v>307</v>
      </c>
      <c r="C54" s="7" t="s">
        <v>58</v>
      </c>
      <c r="G54" s="32">
        <f>IFERROR(tbl_BahanBaku[[#This Row],[HARGA BELI TOTAL]]/tbl_BahanBaku[[#This Row],[KUANTITAS ISI]], 0)</f>
        <v>0</v>
      </c>
      <c r="H54" s="5" t="s">
        <v>293</v>
      </c>
      <c r="K54" s="16"/>
      <c r="M54" s="16"/>
    </row>
    <row r="55" spans="1:13">
      <c r="A55" s="8" t="s">
        <v>163</v>
      </c>
      <c r="B55" s="9" t="s">
        <v>307</v>
      </c>
      <c r="C55" s="7" t="s">
        <v>59</v>
      </c>
      <c r="D55" s="4">
        <v>1000</v>
      </c>
      <c r="E55" t="s">
        <v>6</v>
      </c>
      <c r="F55" s="4">
        <v>31000</v>
      </c>
      <c r="G55" s="32">
        <f>IFERROR(tbl_BahanBaku[[#This Row],[HARGA BELI TOTAL]]/tbl_BahanBaku[[#This Row],[KUANTITAS ISI]], 0)</f>
        <v>31</v>
      </c>
      <c r="H55" s="5" t="s">
        <v>294</v>
      </c>
      <c r="K55" s="16"/>
      <c r="L55" s="16"/>
      <c r="M55" s="16"/>
    </row>
    <row r="56" spans="1:13">
      <c r="A56" s="8" t="s">
        <v>164</v>
      </c>
      <c r="B56" s="9" t="s">
        <v>307</v>
      </c>
      <c r="C56" s="7" t="s">
        <v>60</v>
      </c>
      <c r="D56" s="4">
        <v>24</v>
      </c>
      <c r="E56" t="s">
        <v>4</v>
      </c>
      <c r="F56" s="4">
        <v>5000</v>
      </c>
      <c r="G56" s="32">
        <f>IFERROR(tbl_BahanBaku[[#This Row],[HARGA BELI TOTAL]]/tbl_BahanBaku[[#This Row],[KUANTITAS ISI]], 0)</f>
        <v>208.33333333333334</v>
      </c>
      <c r="H56" s="5" t="s">
        <v>295</v>
      </c>
      <c r="K56" s="16"/>
      <c r="L56" s="16"/>
    </row>
    <row r="57" spans="1:13">
      <c r="A57" s="8" t="s">
        <v>165</v>
      </c>
      <c r="B57" s="9" t="s">
        <v>307</v>
      </c>
      <c r="C57" s="7" t="s">
        <v>61</v>
      </c>
      <c r="D57" s="4">
        <v>24</v>
      </c>
      <c r="E57" t="s">
        <v>4</v>
      </c>
      <c r="F57" s="4">
        <v>5000</v>
      </c>
      <c r="G57" s="32">
        <f>IFERROR(tbl_BahanBaku[[#This Row],[HARGA BELI TOTAL]]/tbl_BahanBaku[[#This Row],[KUANTITAS ISI]], 0)</f>
        <v>208.33333333333334</v>
      </c>
      <c r="H57" s="5" t="s">
        <v>295</v>
      </c>
      <c r="K57" s="16"/>
      <c r="L57" s="16"/>
    </row>
    <row r="58" spans="1:13">
      <c r="A58" s="8" t="s">
        <v>166</v>
      </c>
      <c r="B58" s="9" t="s">
        <v>307</v>
      </c>
      <c r="C58" s="7" t="s">
        <v>62</v>
      </c>
      <c r="D58" s="4">
        <v>1000</v>
      </c>
      <c r="E58" t="s">
        <v>6</v>
      </c>
      <c r="F58" s="4">
        <v>17000</v>
      </c>
      <c r="G58" s="32">
        <f>IFERROR(tbl_BahanBaku[[#This Row],[HARGA BELI TOTAL]]/tbl_BahanBaku[[#This Row],[KUANTITAS ISI]], 0)</f>
        <v>17</v>
      </c>
      <c r="H58" s="5" t="s">
        <v>296</v>
      </c>
      <c r="K58" s="16"/>
      <c r="L58" s="16"/>
    </row>
    <row r="59" spans="1:13">
      <c r="A59" s="8" t="s">
        <v>169</v>
      </c>
      <c r="B59" s="9" t="s">
        <v>308</v>
      </c>
      <c r="C59" s="7" t="s">
        <v>63</v>
      </c>
      <c r="D59" s="4">
        <v>250</v>
      </c>
      <c r="E59" t="s">
        <v>4</v>
      </c>
      <c r="F59" s="4">
        <v>9000</v>
      </c>
      <c r="G59" s="32">
        <f>IFERROR(tbl_BahanBaku[[#This Row],[HARGA BELI TOTAL]]/tbl_BahanBaku[[#This Row],[KUANTITAS ISI]], 0)</f>
        <v>36</v>
      </c>
      <c r="H59" s="5" t="s">
        <v>111</v>
      </c>
      <c r="K59" s="16"/>
      <c r="L59" s="16"/>
    </row>
    <row r="60" spans="1:13">
      <c r="A60" s="8" t="s">
        <v>218</v>
      </c>
      <c r="B60" s="9" t="s">
        <v>307</v>
      </c>
      <c r="C60" s="7" t="s">
        <v>219</v>
      </c>
      <c r="D60" s="4">
        <v>20</v>
      </c>
      <c r="E60" t="s">
        <v>110</v>
      </c>
      <c r="F60" s="4">
        <v>5000</v>
      </c>
      <c r="G60" s="32">
        <f>IFERROR(tbl_BahanBaku[[#This Row],[HARGA BELI TOTAL]]/tbl_BahanBaku[[#This Row],[KUANTITAS ISI]], 0)</f>
        <v>250</v>
      </c>
      <c r="H60" s="5" t="s">
        <v>297</v>
      </c>
      <c r="K60" s="16"/>
      <c r="L60" s="16"/>
    </row>
    <row r="61" spans="1:13">
      <c r="A61" s="8" t="s">
        <v>168</v>
      </c>
      <c r="B61" s="9" t="s">
        <v>307</v>
      </c>
      <c r="C61" s="7" t="s">
        <v>8</v>
      </c>
      <c r="D61" s="4">
        <v>250</v>
      </c>
      <c r="E61" t="s">
        <v>5</v>
      </c>
      <c r="F61" s="4">
        <v>61000</v>
      </c>
      <c r="G61" s="32">
        <f>IFERROR(tbl_BahanBaku[[#This Row],[HARGA BELI TOTAL]]/tbl_BahanBaku[[#This Row],[KUANTITAS ISI]], 0)</f>
        <v>244</v>
      </c>
      <c r="H61" s="5" t="s">
        <v>298</v>
      </c>
    </row>
    <row r="62" spans="1:13">
      <c r="A62" s="8" t="s">
        <v>170</v>
      </c>
      <c r="B62" s="9" t="s">
        <v>309</v>
      </c>
      <c r="C62" s="7" t="s">
        <v>64</v>
      </c>
      <c r="D62" s="4">
        <v>77</v>
      </c>
      <c r="E62" t="s">
        <v>4</v>
      </c>
      <c r="F62" s="4">
        <v>10000</v>
      </c>
      <c r="G62" s="32">
        <f>IFERROR(tbl_BahanBaku[[#This Row],[HARGA BELI TOTAL]]/tbl_BahanBaku[[#This Row],[KUANTITAS ISI]], 0)</f>
        <v>129.87012987012986</v>
      </c>
      <c r="H62" s="5" t="s">
        <v>216</v>
      </c>
    </row>
    <row r="63" spans="1:13">
      <c r="A63" s="8" t="s">
        <v>210</v>
      </c>
      <c r="B63" s="9" t="s">
        <v>308</v>
      </c>
      <c r="C63" s="7" t="s">
        <v>65</v>
      </c>
      <c r="D63" s="4">
        <v>50</v>
      </c>
      <c r="E63" t="s">
        <v>4</v>
      </c>
      <c r="F63" s="4">
        <v>35000</v>
      </c>
      <c r="G63" s="32">
        <f>IFERROR(tbl_BahanBaku[[#This Row],[HARGA BELI TOTAL]]/tbl_BahanBaku[[#This Row],[KUANTITAS ISI]], 0)</f>
        <v>700</v>
      </c>
      <c r="H63" s="5" t="s">
        <v>217</v>
      </c>
    </row>
    <row r="64" spans="1:13">
      <c r="A64" s="8" t="s">
        <v>224</v>
      </c>
      <c r="B64" s="9" t="s">
        <v>257</v>
      </c>
      <c r="C64" s="7" t="s">
        <v>225</v>
      </c>
      <c r="D64" s="4">
        <v>2400</v>
      </c>
      <c r="E64" t="s">
        <v>6</v>
      </c>
      <c r="F64" s="4">
        <v>42000</v>
      </c>
      <c r="G64" s="32">
        <f>IFERROR(tbl_BahanBaku[[#This Row],[HARGA BELI TOTAL]]/tbl_BahanBaku[[#This Row],[KUANTITAS ISI]], 0)</f>
        <v>17.5</v>
      </c>
      <c r="H64" s="5" t="s">
        <v>299</v>
      </c>
    </row>
    <row r="65" spans="1:8">
      <c r="A65" s="8" t="s">
        <v>171</v>
      </c>
      <c r="B65" s="9" t="s">
        <v>307</v>
      </c>
      <c r="C65" s="7" t="s">
        <v>66</v>
      </c>
      <c r="D65" s="4">
        <v>1000</v>
      </c>
      <c r="E65" t="s">
        <v>6</v>
      </c>
      <c r="F65" s="4">
        <v>21000</v>
      </c>
      <c r="G65" s="32">
        <f>IFERROR(tbl_BahanBaku[[#This Row],[HARGA BELI TOTAL]]/tbl_BahanBaku[[#This Row],[KUANTITAS ISI]], 0)</f>
        <v>21</v>
      </c>
      <c r="H65" s="5" t="s">
        <v>300</v>
      </c>
    </row>
    <row r="66" spans="1:8">
      <c r="A66" s="8" t="s">
        <v>172</v>
      </c>
      <c r="B66" s="9" t="s">
        <v>256</v>
      </c>
      <c r="C66" s="7" t="s">
        <v>1</v>
      </c>
      <c r="D66" s="4">
        <v>16</v>
      </c>
      <c r="E66" t="s">
        <v>228</v>
      </c>
      <c r="F66" s="4">
        <v>2000</v>
      </c>
      <c r="G66" s="32">
        <f>IFERROR(tbl_BahanBaku[[#This Row],[HARGA BELI TOTAL]]/tbl_BahanBaku[[#This Row],[KUANTITAS ISI]], 0)</f>
        <v>125</v>
      </c>
      <c r="H66" s="5" t="s">
        <v>301</v>
      </c>
    </row>
    <row r="67" spans="1:8">
      <c r="A67" s="8" t="s">
        <v>173</v>
      </c>
      <c r="B67" s="9" t="s">
        <v>257</v>
      </c>
      <c r="C67" s="7" t="s">
        <v>67</v>
      </c>
      <c r="D67" s="4">
        <v>40</v>
      </c>
      <c r="E67" t="s">
        <v>5</v>
      </c>
      <c r="F67" s="4">
        <v>4000</v>
      </c>
      <c r="G67" s="32">
        <f>IFERROR(tbl_BahanBaku[[#This Row],[HARGA BELI TOTAL]]/tbl_BahanBaku[[#This Row],[KUANTITAS ISI]], 0)</f>
        <v>100</v>
      </c>
      <c r="H67" s="5" t="s">
        <v>302</v>
      </c>
    </row>
    <row r="68" spans="1:8">
      <c r="A68" s="8" t="s">
        <v>174</v>
      </c>
      <c r="B68" s="9" t="s">
        <v>307</v>
      </c>
      <c r="C68" s="7" t="s">
        <v>68</v>
      </c>
      <c r="D68" s="4">
        <v>25000</v>
      </c>
      <c r="E68" t="s">
        <v>5</v>
      </c>
      <c r="F68" s="4">
        <v>200000</v>
      </c>
      <c r="G68" s="32">
        <f>IFERROR(tbl_BahanBaku[[#This Row],[HARGA BELI TOTAL]]/tbl_BahanBaku[[#This Row],[KUANTITAS ISI]], 0)</f>
        <v>8</v>
      </c>
      <c r="H68" s="5" t="s">
        <v>303</v>
      </c>
    </row>
    <row r="69" spans="1:8">
      <c r="A69" s="8" t="s">
        <v>175</v>
      </c>
      <c r="B69" s="9" t="s">
        <v>307</v>
      </c>
      <c r="C69" s="7" t="s">
        <v>69</v>
      </c>
      <c r="D69" s="4">
        <v>1000</v>
      </c>
      <c r="E69" t="s">
        <v>5</v>
      </c>
      <c r="F69" s="4">
        <v>15000</v>
      </c>
      <c r="G69" s="32">
        <f>IFERROR(tbl_BahanBaku[[#This Row],[HARGA BELI TOTAL]]/tbl_BahanBaku[[#This Row],[KUANTITAS ISI]], 0)</f>
        <v>15</v>
      </c>
      <c r="H69" s="5" t="s">
        <v>304</v>
      </c>
    </row>
    <row r="70" spans="1:8">
      <c r="A70" s="8" t="s">
        <v>176</v>
      </c>
      <c r="B70" s="9" t="s">
        <v>307</v>
      </c>
      <c r="C70" s="7" t="s">
        <v>70</v>
      </c>
      <c r="D70" s="4">
        <v>1000</v>
      </c>
      <c r="E70" t="s">
        <v>5</v>
      </c>
      <c r="F70" s="4">
        <v>15000</v>
      </c>
      <c r="G70" s="32">
        <f>IFERROR(tbl_BahanBaku[[#This Row],[HARGA BELI TOTAL]]/tbl_BahanBaku[[#This Row],[KUANTITAS ISI]], 0)</f>
        <v>15</v>
      </c>
      <c r="H70" s="5" t="s">
        <v>265</v>
      </c>
    </row>
    <row r="71" spans="1:8">
      <c r="A71" s="8" t="s">
        <v>177</v>
      </c>
      <c r="B71" s="9" t="s">
        <v>307</v>
      </c>
      <c r="C71" s="7" t="s">
        <v>71</v>
      </c>
      <c r="D71" s="4">
        <v>100</v>
      </c>
      <c r="E71" t="s">
        <v>5</v>
      </c>
      <c r="F71" s="4">
        <v>6000</v>
      </c>
      <c r="G71" s="32">
        <f>IFERROR(tbl_BahanBaku[[#This Row],[HARGA BELI TOTAL]]/tbl_BahanBaku[[#This Row],[KUANTITAS ISI]], 0)</f>
        <v>60</v>
      </c>
      <c r="H71" s="5" t="s">
        <v>305</v>
      </c>
    </row>
    <row r="72" spans="1:8">
      <c r="A72" s="8" t="s">
        <v>178</v>
      </c>
      <c r="B72" s="9" t="s">
        <v>307</v>
      </c>
      <c r="C72" s="7" t="s">
        <v>72</v>
      </c>
      <c r="D72" s="4">
        <v>100</v>
      </c>
      <c r="E72" t="s">
        <v>5</v>
      </c>
      <c r="F72" s="4">
        <v>6000</v>
      </c>
      <c r="G72" s="32">
        <f>IFERROR(tbl_BahanBaku[[#This Row],[HARGA BELI TOTAL]]/tbl_BahanBaku[[#This Row],[KUANTITAS ISI]], 0)</f>
        <v>60</v>
      </c>
      <c r="H72" s="5" t="s">
        <v>306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981C0-061D-4DDA-8060-E49655C050B4}">
  <sheetPr codeName="Sheet3"/>
  <dimension ref="A1:J36"/>
  <sheetViews>
    <sheetView zoomScaleNormal="100" workbookViewId="0">
      <selection activeCell="D32" sqref="D32"/>
    </sheetView>
  </sheetViews>
  <sheetFormatPr defaultRowHeight="14.5"/>
  <cols>
    <col min="1" max="1" width="24.26953125" customWidth="1"/>
    <col min="2" max="2" width="31.453125" customWidth="1"/>
    <col min="3" max="3" width="26.36328125" style="23" customWidth="1"/>
    <col min="4" max="4" width="26.08984375" style="23" customWidth="1"/>
    <col min="5" max="5" width="25.7265625" style="23" customWidth="1"/>
    <col min="6" max="6" width="23.453125" style="11" customWidth="1"/>
    <col min="7" max="7" width="17.6328125" customWidth="1"/>
    <col min="8" max="8" width="18.6328125" customWidth="1"/>
    <col min="9" max="9" width="20.6328125" customWidth="1"/>
    <col min="10" max="10" width="22.6328125" customWidth="1"/>
  </cols>
  <sheetData>
    <row r="1" spans="1:10" s="14" customFormat="1" ht="25.5" customHeight="1">
      <c r="A1" s="14" t="s">
        <v>341</v>
      </c>
      <c r="B1" s="14" t="s">
        <v>342</v>
      </c>
      <c r="C1" s="93" t="s">
        <v>343</v>
      </c>
      <c r="D1" s="93" t="s">
        <v>344</v>
      </c>
      <c r="E1" s="93" t="s">
        <v>345</v>
      </c>
      <c r="F1" s="15" t="s">
        <v>246</v>
      </c>
      <c r="G1" s="15" t="s">
        <v>211</v>
      </c>
      <c r="H1" s="15" t="s">
        <v>212</v>
      </c>
      <c r="I1" s="15" t="s">
        <v>213</v>
      </c>
      <c r="J1" s="15" t="s">
        <v>214</v>
      </c>
    </row>
    <row r="2" spans="1:10">
      <c r="A2" s="9" t="s">
        <v>363</v>
      </c>
      <c r="B2" s="22" t="s">
        <v>10</v>
      </c>
      <c r="C2" s="94">
        <v>3000</v>
      </c>
      <c r="D2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2405</v>
      </c>
      <c r="E2" s="94">
        <f>IF(OR(NOT(ISNUMBER(tbl_Produk[[#This Row],[HPP PER UNIT]])),tbl_Produk[[#This Row],[HARGA JUAL OFFLINE]]=""),"",tbl_Produk[[#This Row],[HARGA JUAL OFFLINE]]-tbl_Produk[[#This Row],[HPP PER UNIT]])</f>
        <v>595</v>
      </c>
      <c r="F2" s="25">
        <f>IF(OR(NOT(ISNUMBER(tbl_Produk[[#This Row],[HPP PER UNIT]])),tbl_Produk[[#This Row],[HARGA JUAL OFFLINE]]&lt;=0),"",IFERROR(tbl_Produk[[#This Row],[LABA PER UNIT (RP)]]/tbl_Produk[[#This Row],[HARGA JUAL OFFLINE]],""))</f>
        <v>0.19833333333333333</v>
      </c>
      <c r="G2" s="25">
        <v>0.38</v>
      </c>
      <c r="H2" s="25">
        <v>0</v>
      </c>
      <c r="I2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5000</v>
      </c>
      <c r="J2" s="92">
        <f>IF(OR(tbl_Produk[[#This Row],[HARGA CORET ONLINE]]="",tbl_Produk[[#This Row],[PROMO MERCHANT (%)]]=""),"",IFERROR(tbl_Produk[[#This Row],[HARGA CORET ONLINE]]*(1-tbl_Produk[[#This Row],[PROMO MERCHANT (%)]]),""))</f>
        <v>5000</v>
      </c>
    </row>
    <row r="3" spans="1:10" ht="12.5" customHeight="1">
      <c r="A3" s="9" t="s">
        <v>179</v>
      </c>
      <c r="B3" s="22" t="s">
        <v>77</v>
      </c>
      <c r="C3" s="94">
        <v>6000</v>
      </c>
      <c r="D3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5647.95</v>
      </c>
      <c r="E3" s="94">
        <f>IF(OR(NOT(ISNUMBER(tbl_Produk[[#This Row],[HPP PER UNIT]])),tbl_Produk[[#This Row],[HARGA JUAL OFFLINE]]=""),"",tbl_Produk[[#This Row],[HARGA JUAL OFFLINE]]-tbl_Produk[[#This Row],[HPP PER UNIT]])</f>
        <v>352.05000000000018</v>
      </c>
      <c r="F3" s="25">
        <f>IF(OR(NOT(ISNUMBER(tbl_Produk[[#This Row],[HPP PER UNIT]])),tbl_Produk[[#This Row],[HARGA JUAL OFFLINE]]&lt;=0),"",IFERROR(tbl_Produk[[#This Row],[LABA PER UNIT (RP)]]/tbl_Produk[[#This Row],[HARGA JUAL OFFLINE]],""))</f>
        <v>5.8675000000000033E-2</v>
      </c>
      <c r="G3" s="25">
        <v>0.38</v>
      </c>
      <c r="H3" s="25">
        <v>0</v>
      </c>
      <c r="I3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10000</v>
      </c>
      <c r="J3" s="92">
        <f>IF(OR(tbl_Produk[[#This Row],[HARGA CORET ONLINE]]="",tbl_Produk[[#This Row],[PROMO MERCHANT (%)]]=""),"",IFERROR(tbl_Produk[[#This Row],[HARGA CORET ONLINE]]*(1-tbl_Produk[[#This Row],[PROMO MERCHANT (%)]]),""))</f>
        <v>10000</v>
      </c>
    </row>
    <row r="4" spans="1:10">
      <c r="A4" s="9" t="s">
        <v>180</v>
      </c>
      <c r="B4" s="22" t="s">
        <v>78</v>
      </c>
      <c r="C4" s="94">
        <v>9000</v>
      </c>
      <c r="D4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7364.079999999999</v>
      </c>
      <c r="E4" s="94">
        <f>IF(OR(NOT(ISNUMBER(tbl_Produk[[#This Row],[HPP PER UNIT]])),tbl_Produk[[#This Row],[HARGA JUAL OFFLINE]]=""),"",tbl_Produk[[#This Row],[HARGA JUAL OFFLINE]]-tbl_Produk[[#This Row],[HPP PER UNIT]])</f>
        <v>1635.920000000001</v>
      </c>
      <c r="F4" s="25">
        <f>IF(OR(NOT(ISNUMBER(tbl_Produk[[#This Row],[HPP PER UNIT]])),tbl_Produk[[#This Row],[HARGA JUAL OFFLINE]]&lt;=0),"",IFERROR(tbl_Produk[[#This Row],[LABA PER UNIT (RP)]]/tbl_Produk[[#This Row],[HARGA JUAL OFFLINE]],""))</f>
        <v>0.18176888888888901</v>
      </c>
      <c r="G4" s="25">
        <v>0.38</v>
      </c>
      <c r="H4" s="25">
        <v>0</v>
      </c>
      <c r="I4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15000</v>
      </c>
      <c r="J4" s="92">
        <f>IF(OR(tbl_Produk[[#This Row],[HARGA CORET ONLINE]]="",tbl_Produk[[#This Row],[PROMO MERCHANT (%)]]=""),"",IFERROR(tbl_Produk[[#This Row],[HARGA CORET ONLINE]]*(1-tbl_Produk[[#This Row],[PROMO MERCHANT (%)]]),""))</f>
        <v>15000</v>
      </c>
    </row>
    <row r="5" spans="1:10">
      <c r="A5" s="8" t="s">
        <v>181</v>
      </c>
      <c r="B5" s="22" t="s">
        <v>79</v>
      </c>
      <c r="C5" s="94">
        <v>9000</v>
      </c>
      <c r="D5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7981.16</v>
      </c>
      <c r="E5" s="94">
        <f>IF(OR(NOT(ISNUMBER(tbl_Produk[[#This Row],[HPP PER UNIT]])),tbl_Produk[[#This Row],[HARGA JUAL OFFLINE]]=""),"",tbl_Produk[[#This Row],[HARGA JUAL OFFLINE]]-tbl_Produk[[#This Row],[HPP PER UNIT]])</f>
        <v>1018.8400000000001</v>
      </c>
      <c r="F5" s="25">
        <f>IF(OR(NOT(ISNUMBER(tbl_Produk[[#This Row],[HPP PER UNIT]])),tbl_Produk[[#This Row],[HARGA JUAL OFFLINE]]&lt;=0),"",IFERROR(tbl_Produk[[#This Row],[LABA PER UNIT (RP)]]/tbl_Produk[[#This Row],[HARGA JUAL OFFLINE]],""))</f>
        <v>0.11320444444444445</v>
      </c>
      <c r="G5" s="25">
        <v>0.38</v>
      </c>
      <c r="H5" s="25">
        <v>0</v>
      </c>
      <c r="I5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15000</v>
      </c>
      <c r="J5" s="92">
        <f>IF(OR(tbl_Produk[[#This Row],[HARGA CORET ONLINE]]="",tbl_Produk[[#This Row],[PROMO MERCHANT (%)]]=""),"",IFERROR(tbl_Produk[[#This Row],[HARGA CORET ONLINE]]*(1-tbl_Produk[[#This Row],[PROMO MERCHANT (%)]]),""))</f>
        <v>15000</v>
      </c>
    </row>
    <row r="6" spans="1:10">
      <c r="A6" s="8" t="s">
        <v>182</v>
      </c>
      <c r="B6" s="22" t="s">
        <v>80</v>
      </c>
      <c r="C6" s="94">
        <v>11000</v>
      </c>
      <c r="D6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9357.4199999999983</v>
      </c>
      <c r="E6" s="94">
        <f>IF(OR(NOT(ISNUMBER(tbl_Produk[[#This Row],[HPP PER UNIT]])),tbl_Produk[[#This Row],[HARGA JUAL OFFLINE]]=""),"",tbl_Produk[[#This Row],[HARGA JUAL OFFLINE]]-tbl_Produk[[#This Row],[HPP PER UNIT]])</f>
        <v>1642.5800000000017</v>
      </c>
      <c r="F6" s="25">
        <f>IF(OR(NOT(ISNUMBER(tbl_Produk[[#This Row],[HPP PER UNIT]])),tbl_Produk[[#This Row],[HARGA JUAL OFFLINE]]&lt;=0),"",IFERROR(tbl_Produk[[#This Row],[LABA PER UNIT (RP)]]/tbl_Produk[[#This Row],[HARGA JUAL OFFLINE]],""))</f>
        <v>0.14932545454545471</v>
      </c>
      <c r="G6" s="25">
        <v>0.38</v>
      </c>
      <c r="H6" s="25">
        <v>0.1</v>
      </c>
      <c r="I6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21500</v>
      </c>
      <c r="J6" s="92">
        <f>IF(OR(tbl_Produk[[#This Row],[HARGA CORET ONLINE]]="",tbl_Produk[[#This Row],[PROMO MERCHANT (%)]]=""),"",IFERROR(tbl_Produk[[#This Row],[HARGA CORET ONLINE]]*(1-tbl_Produk[[#This Row],[PROMO MERCHANT (%)]]),""))</f>
        <v>19350</v>
      </c>
    </row>
    <row r="7" spans="1:10">
      <c r="A7" s="8" t="s">
        <v>183</v>
      </c>
      <c r="B7" s="22" t="s">
        <v>81</v>
      </c>
      <c r="C7" s="94">
        <v>9000</v>
      </c>
      <c r="D7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8030.16</v>
      </c>
      <c r="E7" s="94">
        <f>IF(OR(NOT(ISNUMBER(tbl_Produk[[#This Row],[HPP PER UNIT]])),tbl_Produk[[#This Row],[HARGA JUAL OFFLINE]]=""),"",tbl_Produk[[#This Row],[HARGA JUAL OFFLINE]]-tbl_Produk[[#This Row],[HPP PER UNIT]])</f>
        <v>969.84000000000015</v>
      </c>
      <c r="F7" s="25">
        <f>IF(OR(NOT(ISNUMBER(tbl_Produk[[#This Row],[HPP PER UNIT]])),tbl_Produk[[#This Row],[HARGA JUAL OFFLINE]]&lt;=0),"",IFERROR(tbl_Produk[[#This Row],[LABA PER UNIT (RP)]]/tbl_Produk[[#This Row],[HARGA JUAL OFFLINE]],""))</f>
        <v>0.10776000000000002</v>
      </c>
      <c r="G7" s="25">
        <v>0.38</v>
      </c>
      <c r="H7" s="25">
        <v>0</v>
      </c>
      <c r="I7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15000</v>
      </c>
      <c r="J7" s="92">
        <f>IF(OR(tbl_Produk[[#This Row],[HARGA CORET ONLINE]]="",tbl_Produk[[#This Row],[PROMO MERCHANT (%)]]=""),"",IFERROR(tbl_Produk[[#This Row],[HARGA CORET ONLINE]]*(1-tbl_Produk[[#This Row],[PROMO MERCHANT (%)]]),""))</f>
        <v>15000</v>
      </c>
    </row>
    <row r="8" spans="1:10">
      <c r="A8" s="8" t="s">
        <v>184</v>
      </c>
      <c r="B8" s="22" t="s">
        <v>82</v>
      </c>
      <c r="C8" s="94">
        <v>11000</v>
      </c>
      <c r="D8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9406.4199999999983</v>
      </c>
      <c r="E8" s="94">
        <f>IF(OR(NOT(ISNUMBER(tbl_Produk[[#This Row],[HPP PER UNIT]])),tbl_Produk[[#This Row],[HARGA JUAL OFFLINE]]=""),"",tbl_Produk[[#This Row],[HARGA JUAL OFFLINE]]-tbl_Produk[[#This Row],[HPP PER UNIT]])</f>
        <v>1593.5800000000017</v>
      </c>
      <c r="F8" s="25">
        <f>IF(OR(NOT(ISNUMBER(tbl_Produk[[#This Row],[HPP PER UNIT]])),tbl_Produk[[#This Row],[HARGA JUAL OFFLINE]]&lt;=0),"",IFERROR(tbl_Produk[[#This Row],[LABA PER UNIT (RP)]]/tbl_Produk[[#This Row],[HARGA JUAL OFFLINE]],""))</f>
        <v>0.14487090909090924</v>
      </c>
      <c r="G8" s="25">
        <v>0.38</v>
      </c>
      <c r="H8" s="25">
        <v>0</v>
      </c>
      <c r="I8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18000</v>
      </c>
      <c r="J8" s="92">
        <f>IF(OR(tbl_Produk[[#This Row],[HARGA CORET ONLINE]]="",tbl_Produk[[#This Row],[PROMO MERCHANT (%)]]=""),"",IFERROR(tbl_Produk[[#This Row],[HARGA CORET ONLINE]]*(1-tbl_Produk[[#This Row],[PROMO MERCHANT (%)]]),""))</f>
        <v>18000</v>
      </c>
    </row>
    <row r="9" spans="1:10">
      <c r="A9" s="8" t="s">
        <v>185</v>
      </c>
      <c r="B9" s="22" t="s">
        <v>83</v>
      </c>
      <c r="C9" s="94">
        <v>9000</v>
      </c>
      <c r="D9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7675.16</v>
      </c>
      <c r="E9" s="94">
        <f>IF(OR(NOT(ISNUMBER(tbl_Produk[[#This Row],[HPP PER UNIT]])),tbl_Produk[[#This Row],[HARGA JUAL OFFLINE]]=""),"",tbl_Produk[[#This Row],[HARGA JUAL OFFLINE]]-tbl_Produk[[#This Row],[HPP PER UNIT]])</f>
        <v>1324.8400000000001</v>
      </c>
      <c r="F9" s="25">
        <f>IF(OR(NOT(ISNUMBER(tbl_Produk[[#This Row],[HPP PER UNIT]])),tbl_Produk[[#This Row],[HARGA JUAL OFFLINE]]&lt;=0),"",IFERROR(tbl_Produk[[#This Row],[LABA PER UNIT (RP)]]/tbl_Produk[[#This Row],[HARGA JUAL OFFLINE]],""))</f>
        <v>0.14720444444444447</v>
      </c>
      <c r="G9" s="25">
        <v>0.38</v>
      </c>
      <c r="H9" s="25">
        <v>0</v>
      </c>
      <c r="I9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15000</v>
      </c>
      <c r="J9" s="92">
        <f>IF(OR(tbl_Produk[[#This Row],[HARGA CORET ONLINE]]="",tbl_Produk[[#This Row],[PROMO MERCHANT (%)]]=""),"",IFERROR(tbl_Produk[[#This Row],[HARGA CORET ONLINE]]*(1-tbl_Produk[[#This Row],[PROMO MERCHANT (%)]]),""))</f>
        <v>15000</v>
      </c>
    </row>
    <row r="10" spans="1:10">
      <c r="A10" s="8" t="s">
        <v>186</v>
      </c>
      <c r="B10" s="22" t="s">
        <v>84</v>
      </c>
      <c r="C10" s="94">
        <v>11000</v>
      </c>
      <c r="D10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9051.4199999999983</v>
      </c>
      <c r="E10" s="94">
        <f>IF(OR(NOT(ISNUMBER(tbl_Produk[[#This Row],[HPP PER UNIT]])),tbl_Produk[[#This Row],[HARGA JUAL OFFLINE]]=""),"",tbl_Produk[[#This Row],[HARGA JUAL OFFLINE]]-tbl_Produk[[#This Row],[HPP PER UNIT]])</f>
        <v>1948.5800000000017</v>
      </c>
      <c r="F10" s="25">
        <f>IF(OR(NOT(ISNUMBER(tbl_Produk[[#This Row],[HPP PER UNIT]])),tbl_Produk[[#This Row],[HARGA JUAL OFFLINE]]&lt;=0),"",IFERROR(tbl_Produk[[#This Row],[LABA PER UNIT (RP)]]/tbl_Produk[[#This Row],[HARGA JUAL OFFLINE]],""))</f>
        <v>0.17714363636363653</v>
      </c>
      <c r="G10" s="25">
        <v>0.38</v>
      </c>
      <c r="H10" s="25">
        <v>0</v>
      </c>
      <c r="I10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18000</v>
      </c>
      <c r="J10" s="92">
        <f>IF(OR(tbl_Produk[[#This Row],[HARGA CORET ONLINE]]="",tbl_Produk[[#This Row],[PROMO MERCHANT (%)]]=""),"",IFERROR(tbl_Produk[[#This Row],[HARGA CORET ONLINE]]*(1-tbl_Produk[[#This Row],[PROMO MERCHANT (%)]]),""))</f>
        <v>18000</v>
      </c>
    </row>
    <row r="11" spans="1:10">
      <c r="A11" s="8" t="s">
        <v>187</v>
      </c>
      <c r="B11" s="22" t="s">
        <v>85</v>
      </c>
      <c r="C11" s="94">
        <v>9000</v>
      </c>
      <c r="D11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7239.6200000000008</v>
      </c>
      <c r="E11" s="94">
        <f>IF(OR(NOT(ISNUMBER(tbl_Produk[[#This Row],[HPP PER UNIT]])),tbl_Produk[[#This Row],[HARGA JUAL OFFLINE]]=""),"",tbl_Produk[[#This Row],[HARGA JUAL OFFLINE]]-tbl_Produk[[#This Row],[HPP PER UNIT]])</f>
        <v>1760.3799999999992</v>
      </c>
      <c r="F11" s="25">
        <f>IF(OR(NOT(ISNUMBER(tbl_Produk[[#This Row],[HPP PER UNIT]])),tbl_Produk[[#This Row],[HARGA JUAL OFFLINE]]&lt;=0),"",IFERROR(tbl_Produk[[#This Row],[LABA PER UNIT (RP)]]/tbl_Produk[[#This Row],[HARGA JUAL OFFLINE]],""))</f>
        <v>0.19559777777777768</v>
      </c>
      <c r="G11" s="25">
        <v>0.38</v>
      </c>
      <c r="H11" s="25">
        <v>0</v>
      </c>
      <c r="I11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15000</v>
      </c>
      <c r="J11" s="92">
        <f>IF(OR(tbl_Produk[[#This Row],[HARGA CORET ONLINE]]="",tbl_Produk[[#This Row],[PROMO MERCHANT (%)]]=""),"",IFERROR(tbl_Produk[[#This Row],[HARGA CORET ONLINE]]*(1-tbl_Produk[[#This Row],[PROMO MERCHANT (%)]]),""))</f>
        <v>15000</v>
      </c>
    </row>
    <row r="12" spans="1:10">
      <c r="A12" s="8" t="s">
        <v>188</v>
      </c>
      <c r="B12" s="22" t="s">
        <v>86</v>
      </c>
      <c r="C12" s="94">
        <v>11000</v>
      </c>
      <c r="D12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8615.880000000001</v>
      </c>
      <c r="E12" s="94">
        <f>IF(OR(NOT(ISNUMBER(tbl_Produk[[#This Row],[HPP PER UNIT]])),tbl_Produk[[#This Row],[HARGA JUAL OFFLINE]]=""),"",tbl_Produk[[#This Row],[HARGA JUAL OFFLINE]]-tbl_Produk[[#This Row],[HPP PER UNIT]])</f>
        <v>2384.119999999999</v>
      </c>
      <c r="F12" s="25">
        <f>IF(OR(NOT(ISNUMBER(tbl_Produk[[#This Row],[HPP PER UNIT]])),tbl_Produk[[#This Row],[HARGA JUAL OFFLINE]]&lt;=0),"",IFERROR(tbl_Produk[[#This Row],[LABA PER UNIT (RP)]]/tbl_Produk[[#This Row],[HARGA JUAL OFFLINE]],""))</f>
        <v>0.21673818181818172</v>
      </c>
      <c r="G12" s="25">
        <v>0.38</v>
      </c>
      <c r="H12" s="25">
        <v>0.1</v>
      </c>
      <c r="I12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21500</v>
      </c>
      <c r="J12" s="92">
        <f>IF(OR(tbl_Produk[[#This Row],[HARGA CORET ONLINE]]="",tbl_Produk[[#This Row],[PROMO MERCHANT (%)]]=""),"",IFERROR(tbl_Produk[[#This Row],[HARGA CORET ONLINE]]*(1-tbl_Produk[[#This Row],[PROMO MERCHANT (%)]]),""))</f>
        <v>19350</v>
      </c>
    </row>
    <row r="13" spans="1:10">
      <c r="A13" s="8" t="s">
        <v>189</v>
      </c>
      <c r="B13" s="22" t="s">
        <v>87</v>
      </c>
      <c r="C13" s="94">
        <v>9000</v>
      </c>
      <c r="D13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7571.3199999999988</v>
      </c>
      <c r="E13" s="94">
        <f>IF(OR(NOT(ISNUMBER(tbl_Produk[[#This Row],[HPP PER UNIT]])),tbl_Produk[[#This Row],[HARGA JUAL OFFLINE]]=""),"",tbl_Produk[[#This Row],[HARGA JUAL OFFLINE]]-tbl_Produk[[#This Row],[HPP PER UNIT]])</f>
        <v>1428.6800000000012</v>
      </c>
      <c r="F13" s="25">
        <f>IF(OR(NOT(ISNUMBER(tbl_Produk[[#This Row],[HPP PER UNIT]])),tbl_Produk[[#This Row],[HARGA JUAL OFFLINE]]&lt;=0),"",IFERROR(tbl_Produk[[#This Row],[LABA PER UNIT (RP)]]/tbl_Produk[[#This Row],[HARGA JUAL OFFLINE]],""))</f>
        <v>0.15874222222222237</v>
      </c>
      <c r="G13" s="25">
        <v>0.38</v>
      </c>
      <c r="H13" s="25">
        <v>0</v>
      </c>
      <c r="I13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15000</v>
      </c>
      <c r="J13" s="92">
        <f>IF(OR(tbl_Produk[[#This Row],[HARGA CORET ONLINE]]="",tbl_Produk[[#This Row],[PROMO MERCHANT (%)]]=""),"",IFERROR(tbl_Produk[[#This Row],[HARGA CORET ONLINE]]*(1-tbl_Produk[[#This Row],[PROMO MERCHANT (%)]]),""))</f>
        <v>15000</v>
      </c>
    </row>
    <row r="14" spans="1:10">
      <c r="A14" s="8" t="s">
        <v>190</v>
      </c>
      <c r="B14" s="22" t="s">
        <v>88</v>
      </c>
      <c r="C14" s="94">
        <v>11000</v>
      </c>
      <c r="D14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8947.5799999999981</v>
      </c>
      <c r="E14" s="94">
        <f>IF(OR(NOT(ISNUMBER(tbl_Produk[[#This Row],[HPP PER UNIT]])),tbl_Produk[[#This Row],[HARGA JUAL OFFLINE]]=""),"",tbl_Produk[[#This Row],[HARGA JUAL OFFLINE]]-tbl_Produk[[#This Row],[HPP PER UNIT]])</f>
        <v>2052.4200000000019</v>
      </c>
      <c r="F14" s="25">
        <f>IF(OR(NOT(ISNUMBER(tbl_Produk[[#This Row],[HPP PER UNIT]])),tbl_Produk[[#This Row],[HARGA JUAL OFFLINE]]&lt;=0),"",IFERROR(tbl_Produk[[#This Row],[LABA PER UNIT (RP)]]/tbl_Produk[[#This Row],[HARGA JUAL OFFLINE]],""))</f>
        <v>0.18658363636363653</v>
      </c>
      <c r="G14" s="25">
        <v>0.38</v>
      </c>
      <c r="H14" s="25">
        <v>0</v>
      </c>
      <c r="I14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18000</v>
      </c>
      <c r="J14" s="92">
        <f>IF(OR(tbl_Produk[[#This Row],[HARGA CORET ONLINE]]="",tbl_Produk[[#This Row],[PROMO MERCHANT (%)]]=""),"",IFERROR(tbl_Produk[[#This Row],[HARGA CORET ONLINE]]*(1-tbl_Produk[[#This Row],[PROMO MERCHANT (%)]]),""))</f>
        <v>18000</v>
      </c>
    </row>
    <row r="15" spans="1:10">
      <c r="A15" s="8" t="s">
        <v>191</v>
      </c>
      <c r="B15" s="22" t="s">
        <v>89</v>
      </c>
      <c r="C15" s="94">
        <v>9000</v>
      </c>
      <c r="D15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7760.1600000000008</v>
      </c>
      <c r="E15" s="94">
        <f>IF(OR(NOT(ISNUMBER(tbl_Produk[[#This Row],[HPP PER UNIT]])),tbl_Produk[[#This Row],[HARGA JUAL OFFLINE]]=""),"",tbl_Produk[[#This Row],[HARGA JUAL OFFLINE]]-tbl_Produk[[#This Row],[HPP PER UNIT]])</f>
        <v>1239.8399999999992</v>
      </c>
      <c r="F15" s="25">
        <f>IF(OR(NOT(ISNUMBER(tbl_Produk[[#This Row],[HPP PER UNIT]])),tbl_Produk[[#This Row],[HARGA JUAL OFFLINE]]&lt;=0),"",IFERROR(tbl_Produk[[#This Row],[LABA PER UNIT (RP)]]/tbl_Produk[[#This Row],[HARGA JUAL OFFLINE]],""))</f>
        <v>0.13775999999999991</v>
      </c>
      <c r="G15" s="25">
        <v>0.38</v>
      </c>
      <c r="H15" s="25">
        <v>0</v>
      </c>
      <c r="I15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15000</v>
      </c>
      <c r="J15" s="92">
        <f>IF(OR(tbl_Produk[[#This Row],[HARGA CORET ONLINE]]="",tbl_Produk[[#This Row],[PROMO MERCHANT (%)]]=""),"",IFERROR(tbl_Produk[[#This Row],[HARGA CORET ONLINE]]*(1-tbl_Produk[[#This Row],[PROMO MERCHANT (%)]]),""))</f>
        <v>15000</v>
      </c>
    </row>
    <row r="16" spans="1:10">
      <c r="A16" s="8" t="s">
        <v>192</v>
      </c>
      <c r="B16" s="22" t="s">
        <v>90</v>
      </c>
      <c r="C16" s="94">
        <v>11000</v>
      </c>
      <c r="D16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9136.42</v>
      </c>
      <c r="E16" s="94">
        <f>IF(OR(NOT(ISNUMBER(tbl_Produk[[#This Row],[HPP PER UNIT]])),tbl_Produk[[#This Row],[HARGA JUAL OFFLINE]]=""),"",tbl_Produk[[#This Row],[HARGA JUAL OFFLINE]]-tbl_Produk[[#This Row],[HPP PER UNIT]])</f>
        <v>1863.58</v>
      </c>
      <c r="F16" s="25">
        <f>IF(OR(NOT(ISNUMBER(tbl_Produk[[#This Row],[HPP PER UNIT]])),tbl_Produk[[#This Row],[HARGA JUAL OFFLINE]]&lt;=0),"",IFERROR(tbl_Produk[[#This Row],[LABA PER UNIT (RP)]]/tbl_Produk[[#This Row],[HARGA JUAL OFFLINE]],""))</f>
        <v>0.16941636363636364</v>
      </c>
      <c r="G16" s="25">
        <v>0.38</v>
      </c>
      <c r="H16" s="25">
        <v>0.1</v>
      </c>
      <c r="I16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21500</v>
      </c>
      <c r="J16" s="92">
        <f>IF(OR(tbl_Produk[[#This Row],[HARGA CORET ONLINE]]="",tbl_Produk[[#This Row],[PROMO MERCHANT (%)]]=""),"",IFERROR(tbl_Produk[[#This Row],[HARGA CORET ONLINE]]*(1-tbl_Produk[[#This Row],[PROMO MERCHANT (%)]]),""))</f>
        <v>19350</v>
      </c>
    </row>
    <row r="17" spans="1:10">
      <c r="A17" s="8" t="s">
        <v>193</v>
      </c>
      <c r="B17" s="22" t="s">
        <v>91</v>
      </c>
      <c r="C17" s="94">
        <v>5000</v>
      </c>
      <c r="D17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2800.87</v>
      </c>
      <c r="E17" s="94">
        <f>IF(OR(NOT(ISNUMBER(tbl_Produk[[#This Row],[HPP PER UNIT]])),tbl_Produk[[#This Row],[HARGA JUAL OFFLINE]]=""),"",tbl_Produk[[#This Row],[HARGA JUAL OFFLINE]]-tbl_Produk[[#This Row],[HPP PER UNIT]])</f>
        <v>2199.13</v>
      </c>
      <c r="F17" s="25">
        <f>IF(OR(NOT(ISNUMBER(tbl_Produk[[#This Row],[HPP PER UNIT]])),tbl_Produk[[#This Row],[HARGA JUAL OFFLINE]]&lt;=0),"",IFERROR(tbl_Produk[[#This Row],[LABA PER UNIT (RP)]]/tbl_Produk[[#This Row],[HARGA JUAL OFFLINE]],""))</f>
        <v>0.43982599999999999</v>
      </c>
      <c r="G17" s="25">
        <v>0.38</v>
      </c>
      <c r="H17" s="25">
        <v>0</v>
      </c>
      <c r="I17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8500</v>
      </c>
      <c r="J17" s="92">
        <f>IF(OR(tbl_Produk[[#This Row],[HARGA CORET ONLINE]]="",tbl_Produk[[#This Row],[PROMO MERCHANT (%)]]=""),"",IFERROR(tbl_Produk[[#This Row],[HARGA CORET ONLINE]]*(1-tbl_Produk[[#This Row],[PROMO MERCHANT (%)]]),""))</f>
        <v>8500</v>
      </c>
    </row>
    <row r="18" spans="1:10">
      <c r="A18" s="8" t="s">
        <v>194</v>
      </c>
      <c r="B18" s="22" t="s">
        <v>92</v>
      </c>
      <c r="C18" s="94">
        <v>6000</v>
      </c>
      <c r="D18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4759.45</v>
      </c>
      <c r="E18" s="94">
        <f>IF(OR(NOT(ISNUMBER(tbl_Produk[[#This Row],[HPP PER UNIT]])),tbl_Produk[[#This Row],[HARGA JUAL OFFLINE]]=""),"",tbl_Produk[[#This Row],[HARGA JUAL OFFLINE]]-tbl_Produk[[#This Row],[HPP PER UNIT]])</f>
        <v>1240.5500000000002</v>
      </c>
      <c r="F18" s="25">
        <f>IF(OR(NOT(ISNUMBER(tbl_Produk[[#This Row],[HPP PER UNIT]])),tbl_Produk[[#This Row],[HARGA JUAL OFFLINE]]&lt;=0),"",IFERROR(tbl_Produk[[#This Row],[LABA PER UNIT (RP)]]/tbl_Produk[[#This Row],[HARGA JUAL OFFLINE]],""))</f>
        <v>0.20675833333333338</v>
      </c>
      <c r="G18" s="25">
        <v>0.38</v>
      </c>
      <c r="H18" s="25">
        <v>0</v>
      </c>
      <c r="I18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10000</v>
      </c>
      <c r="J18" s="92">
        <f>IF(OR(tbl_Produk[[#This Row],[HARGA CORET ONLINE]]="",tbl_Produk[[#This Row],[PROMO MERCHANT (%)]]=""),"",IFERROR(tbl_Produk[[#This Row],[HARGA CORET ONLINE]]*(1-tbl_Produk[[#This Row],[PROMO MERCHANT (%)]]),""))</f>
        <v>10000</v>
      </c>
    </row>
    <row r="19" spans="1:10">
      <c r="A19" s="8" t="s">
        <v>195</v>
      </c>
      <c r="B19" s="22" t="s">
        <v>93</v>
      </c>
      <c r="C19" s="94">
        <v>4000</v>
      </c>
      <c r="D19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2184.87</v>
      </c>
      <c r="E19" s="94">
        <f>IF(OR(NOT(ISNUMBER(tbl_Produk[[#This Row],[HPP PER UNIT]])),tbl_Produk[[#This Row],[HARGA JUAL OFFLINE]]=""),"",tbl_Produk[[#This Row],[HARGA JUAL OFFLINE]]-tbl_Produk[[#This Row],[HPP PER UNIT]])</f>
        <v>1815.13</v>
      </c>
      <c r="F19" s="25">
        <f>IF(OR(NOT(ISNUMBER(tbl_Produk[[#This Row],[HPP PER UNIT]])),tbl_Produk[[#This Row],[HARGA JUAL OFFLINE]]&lt;=0),"",IFERROR(tbl_Produk[[#This Row],[LABA PER UNIT (RP)]]/tbl_Produk[[#This Row],[HARGA JUAL OFFLINE]],""))</f>
        <v>0.45378250000000003</v>
      </c>
      <c r="G19" s="25">
        <v>0.38</v>
      </c>
      <c r="H19" s="25">
        <v>0</v>
      </c>
      <c r="I19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6500</v>
      </c>
      <c r="J19" s="92">
        <f>IF(OR(tbl_Produk[[#This Row],[HARGA CORET ONLINE]]="",tbl_Produk[[#This Row],[PROMO MERCHANT (%)]]=""),"",IFERROR(tbl_Produk[[#This Row],[HARGA CORET ONLINE]]*(1-tbl_Produk[[#This Row],[PROMO MERCHANT (%)]]),""))</f>
        <v>6500</v>
      </c>
    </row>
    <row r="20" spans="1:10">
      <c r="A20" s="8" t="s">
        <v>196</v>
      </c>
      <c r="B20" s="22" t="s">
        <v>29</v>
      </c>
      <c r="C20" s="94">
        <v>8000</v>
      </c>
      <c r="D20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4681.2</v>
      </c>
      <c r="E20" s="94">
        <f>IF(OR(NOT(ISNUMBER(tbl_Produk[[#This Row],[HPP PER UNIT]])),tbl_Produk[[#This Row],[HARGA JUAL OFFLINE]]=""),"",tbl_Produk[[#This Row],[HARGA JUAL OFFLINE]]-tbl_Produk[[#This Row],[HPP PER UNIT]])</f>
        <v>3318.8</v>
      </c>
      <c r="F20" s="25">
        <f>IF(OR(NOT(ISNUMBER(tbl_Produk[[#This Row],[HPP PER UNIT]])),tbl_Produk[[#This Row],[HARGA JUAL OFFLINE]]&lt;=0),"",IFERROR(tbl_Produk[[#This Row],[LABA PER UNIT (RP)]]/tbl_Produk[[#This Row],[HARGA JUAL OFFLINE]],""))</f>
        <v>0.41485</v>
      </c>
      <c r="G20" s="25">
        <v>0.38</v>
      </c>
      <c r="H20" s="25">
        <v>0</v>
      </c>
      <c r="I20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13000</v>
      </c>
      <c r="J20" s="92">
        <f>IF(OR(tbl_Produk[[#This Row],[HARGA CORET ONLINE]]="",tbl_Produk[[#This Row],[PROMO MERCHANT (%)]]=""),"",IFERROR(tbl_Produk[[#This Row],[HARGA CORET ONLINE]]*(1-tbl_Produk[[#This Row],[PROMO MERCHANT (%)]]),""))</f>
        <v>13000</v>
      </c>
    </row>
    <row r="21" spans="1:10">
      <c r="A21" s="8" t="s">
        <v>197</v>
      </c>
      <c r="B21" s="22" t="s">
        <v>94</v>
      </c>
      <c r="C21" s="94">
        <v>6000</v>
      </c>
      <c r="D21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5641.2</v>
      </c>
      <c r="E21" s="94">
        <f>IF(OR(NOT(ISNUMBER(tbl_Produk[[#This Row],[HPP PER UNIT]])),tbl_Produk[[#This Row],[HARGA JUAL OFFLINE]]=""),"",tbl_Produk[[#This Row],[HARGA JUAL OFFLINE]]-tbl_Produk[[#This Row],[HPP PER UNIT]])</f>
        <v>358.80000000000018</v>
      </c>
      <c r="F21" s="25">
        <f>IF(OR(NOT(ISNUMBER(tbl_Produk[[#This Row],[HPP PER UNIT]])),tbl_Produk[[#This Row],[HARGA JUAL OFFLINE]]&lt;=0),"",IFERROR(tbl_Produk[[#This Row],[LABA PER UNIT (RP)]]/tbl_Produk[[#This Row],[HARGA JUAL OFFLINE]],""))</f>
        <v>5.9800000000000034E-2</v>
      </c>
      <c r="G21" s="25">
        <v>0.38</v>
      </c>
      <c r="H21" s="25">
        <v>0</v>
      </c>
      <c r="I21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10000</v>
      </c>
      <c r="J21" s="92">
        <f>IF(OR(tbl_Produk[[#This Row],[HARGA CORET ONLINE]]="",tbl_Produk[[#This Row],[PROMO MERCHANT (%)]]=""),"",IFERROR(tbl_Produk[[#This Row],[HARGA CORET ONLINE]]*(1-tbl_Produk[[#This Row],[PROMO MERCHANT (%)]]),""))</f>
        <v>10000</v>
      </c>
    </row>
    <row r="22" spans="1:10">
      <c r="A22" s="8" t="s">
        <v>198</v>
      </c>
      <c r="B22" s="22" t="s">
        <v>95</v>
      </c>
      <c r="C22" s="94">
        <v>10000</v>
      </c>
      <c r="D22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7000.87</v>
      </c>
      <c r="E22" s="94">
        <f>IF(OR(NOT(ISNUMBER(tbl_Produk[[#This Row],[HPP PER UNIT]])),tbl_Produk[[#This Row],[HARGA JUAL OFFLINE]]=""),"",tbl_Produk[[#This Row],[HARGA JUAL OFFLINE]]-tbl_Produk[[#This Row],[HPP PER UNIT]])</f>
        <v>2999.13</v>
      </c>
      <c r="F22" s="25">
        <f>IF(OR(NOT(ISNUMBER(tbl_Produk[[#This Row],[HPP PER UNIT]])),tbl_Produk[[#This Row],[HARGA JUAL OFFLINE]]&lt;=0),"",IFERROR(tbl_Produk[[#This Row],[LABA PER UNIT (RP)]]/tbl_Produk[[#This Row],[HARGA JUAL OFFLINE]],""))</f>
        <v>0.29991299999999999</v>
      </c>
      <c r="G22" s="25">
        <v>0.38</v>
      </c>
      <c r="H22" s="25">
        <v>0.08</v>
      </c>
      <c r="I22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19000</v>
      </c>
      <c r="J22" s="92">
        <f>IF(OR(tbl_Produk[[#This Row],[HARGA CORET ONLINE]]="",tbl_Produk[[#This Row],[PROMO MERCHANT (%)]]=""),"",IFERROR(tbl_Produk[[#This Row],[HARGA CORET ONLINE]]*(1-tbl_Produk[[#This Row],[PROMO MERCHANT (%)]]),""))</f>
        <v>17480</v>
      </c>
    </row>
    <row r="23" spans="1:10">
      <c r="A23" s="8" t="s">
        <v>199</v>
      </c>
      <c r="B23" s="22" t="s">
        <v>96</v>
      </c>
      <c r="C23" s="94">
        <v>3000</v>
      </c>
      <c r="D23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1631.27</v>
      </c>
      <c r="E23" s="94">
        <f>IF(OR(NOT(ISNUMBER(tbl_Produk[[#This Row],[HPP PER UNIT]])),tbl_Produk[[#This Row],[HARGA JUAL OFFLINE]]=""),"",tbl_Produk[[#This Row],[HARGA JUAL OFFLINE]]-tbl_Produk[[#This Row],[HPP PER UNIT]])</f>
        <v>1368.73</v>
      </c>
      <c r="F23" s="25">
        <f>IF(OR(NOT(ISNUMBER(tbl_Produk[[#This Row],[HPP PER UNIT]])),tbl_Produk[[#This Row],[HARGA JUAL OFFLINE]]&lt;=0),"",IFERROR(tbl_Produk[[#This Row],[LABA PER UNIT (RP)]]/tbl_Produk[[#This Row],[HARGA JUAL OFFLINE]],""))</f>
        <v>0.45624333333333333</v>
      </c>
      <c r="G23" s="25">
        <v>0.38</v>
      </c>
      <c r="H23" s="25">
        <v>0</v>
      </c>
      <c r="I23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5000</v>
      </c>
      <c r="J23" s="92">
        <f>IF(OR(tbl_Produk[[#This Row],[HARGA CORET ONLINE]]="",tbl_Produk[[#This Row],[PROMO MERCHANT (%)]]=""),"",IFERROR(tbl_Produk[[#This Row],[HARGA CORET ONLINE]]*(1-tbl_Produk[[#This Row],[PROMO MERCHANT (%)]]),""))</f>
        <v>5000</v>
      </c>
    </row>
    <row r="24" spans="1:10">
      <c r="A24" s="8" t="s">
        <v>200</v>
      </c>
      <c r="B24" s="22" t="s">
        <v>97</v>
      </c>
      <c r="C24" s="94">
        <v>7000</v>
      </c>
      <c r="D24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5911.2</v>
      </c>
      <c r="E24" s="94">
        <f>IF(OR(NOT(ISNUMBER(tbl_Produk[[#This Row],[HPP PER UNIT]])),tbl_Produk[[#This Row],[HARGA JUAL OFFLINE]]=""),"",tbl_Produk[[#This Row],[HARGA JUAL OFFLINE]]-tbl_Produk[[#This Row],[HPP PER UNIT]])</f>
        <v>1088.8000000000002</v>
      </c>
      <c r="F24" s="25">
        <f>IF(OR(NOT(ISNUMBER(tbl_Produk[[#This Row],[HPP PER UNIT]])),tbl_Produk[[#This Row],[HARGA JUAL OFFLINE]]&lt;=0),"",IFERROR(tbl_Produk[[#This Row],[LABA PER UNIT (RP)]]/tbl_Produk[[#This Row],[HARGA JUAL OFFLINE]],""))</f>
        <v>0.15554285714285718</v>
      </c>
      <c r="G24" s="25">
        <v>0.38</v>
      </c>
      <c r="H24" s="25">
        <v>0</v>
      </c>
      <c r="I24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11500</v>
      </c>
      <c r="J24" s="92">
        <f>IF(OR(tbl_Produk[[#This Row],[HARGA CORET ONLINE]]="",tbl_Produk[[#This Row],[PROMO MERCHANT (%)]]=""),"",IFERROR(tbl_Produk[[#This Row],[HARGA CORET ONLINE]]*(1-tbl_Produk[[#This Row],[PROMO MERCHANT (%)]]),""))</f>
        <v>11500</v>
      </c>
    </row>
    <row r="25" spans="1:10">
      <c r="A25" s="8" t="s">
        <v>201</v>
      </c>
      <c r="B25" s="22" t="s">
        <v>98</v>
      </c>
      <c r="C25" s="94">
        <v>3000</v>
      </c>
      <c r="D25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2209.67</v>
      </c>
      <c r="E25" s="94">
        <f>IF(OR(NOT(ISNUMBER(tbl_Produk[[#This Row],[HPP PER UNIT]])),tbl_Produk[[#This Row],[HARGA JUAL OFFLINE]]=""),"",tbl_Produk[[#This Row],[HARGA JUAL OFFLINE]]-tbl_Produk[[#This Row],[HPP PER UNIT]])</f>
        <v>790.32999999999993</v>
      </c>
      <c r="F25" s="25">
        <f>IF(OR(NOT(ISNUMBER(tbl_Produk[[#This Row],[HPP PER UNIT]])),tbl_Produk[[#This Row],[HARGA JUAL OFFLINE]]&lt;=0),"",IFERROR(tbl_Produk[[#This Row],[LABA PER UNIT (RP)]]/tbl_Produk[[#This Row],[HARGA JUAL OFFLINE]],""))</f>
        <v>0.26344333333333331</v>
      </c>
      <c r="G25" s="25">
        <v>0.38</v>
      </c>
      <c r="H25" s="25">
        <v>0</v>
      </c>
      <c r="I25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5000</v>
      </c>
      <c r="J25" s="92">
        <f>IF(OR(tbl_Produk[[#This Row],[HARGA CORET ONLINE]]="",tbl_Produk[[#This Row],[PROMO MERCHANT (%)]]=""),"",IFERROR(tbl_Produk[[#This Row],[HARGA CORET ONLINE]]*(1-tbl_Produk[[#This Row],[PROMO MERCHANT (%)]]),""))</f>
        <v>5000</v>
      </c>
    </row>
    <row r="26" spans="1:10">
      <c r="A26" s="8" t="s">
        <v>202</v>
      </c>
      <c r="B26" s="22" t="s">
        <v>99</v>
      </c>
      <c r="C26" s="94">
        <v>3000</v>
      </c>
      <c r="D26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2143.67</v>
      </c>
      <c r="E26" s="94">
        <f>IF(OR(NOT(ISNUMBER(tbl_Produk[[#This Row],[HPP PER UNIT]])),tbl_Produk[[#This Row],[HARGA JUAL OFFLINE]]=""),"",tbl_Produk[[#This Row],[HARGA JUAL OFFLINE]]-tbl_Produk[[#This Row],[HPP PER UNIT]])</f>
        <v>856.32999999999993</v>
      </c>
      <c r="F26" s="25">
        <f>IF(OR(NOT(ISNUMBER(tbl_Produk[[#This Row],[HPP PER UNIT]])),tbl_Produk[[#This Row],[HARGA JUAL OFFLINE]]&lt;=0),"",IFERROR(tbl_Produk[[#This Row],[LABA PER UNIT (RP)]]/tbl_Produk[[#This Row],[HARGA JUAL OFFLINE]],""))</f>
        <v>0.28544333333333333</v>
      </c>
      <c r="G26" s="25">
        <v>0.38</v>
      </c>
      <c r="H26" s="25">
        <v>0</v>
      </c>
      <c r="I26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5000</v>
      </c>
      <c r="J26" s="92">
        <f>IF(OR(tbl_Produk[[#This Row],[HARGA CORET ONLINE]]="",tbl_Produk[[#This Row],[PROMO MERCHANT (%)]]=""),"",IFERROR(tbl_Produk[[#This Row],[HARGA CORET ONLINE]]*(1-tbl_Produk[[#This Row],[PROMO MERCHANT (%)]]),""))</f>
        <v>5000</v>
      </c>
    </row>
    <row r="27" spans="1:10">
      <c r="A27" s="8" t="s">
        <v>203</v>
      </c>
      <c r="B27" s="22" t="s">
        <v>100</v>
      </c>
      <c r="C27" s="94">
        <v>3000</v>
      </c>
      <c r="D27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1903.67</v>
      </c>
      <c r="E27" s="94">
        <f>IF(OR(NOT(ISNUMBER(tbl_Produk[[#This Row],[HPP PER UNIT]])),tbl_Produk[[#This Row],[HARGA JUAL OFFLINE]]=""),"",tbl_Produk[[#This Row],[HARGA JUAL OFFLINE]]-tbl_Produk[[#This Row],[HPP PER UNIT]])</f>
        <v>1096.33</v>
      </c>
      <c r="F27" s="25">
        <f>IF(OR(NOT(ISNUMBER(tbl_Produk[[#This Row],[HPP PER UNIT]])),tbl_Produk[[#This Row],[HARGA JUAL OFFLINE]]&lt;=0),"",IFERROR(tbl_Produk[[#This Row],[LABA PER UNIT (RP)]]/tbl_Produk[[#This Row],[HARGA JUAL OFFLINE]],""))</f>
        <v>0.36544333333333329</v>
      </c>
      <c r="G27" s="25">
        <v>0.38</v>
      </c>
      <c r="H27" s="25">
        <v>0</v>
      </c>
      <c r="I27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5000</v>
      </c>
      <c r="J27" s="92">
        <f>IF(OR(tbl_Produk[[#This Row],[HARGA CORET ONLINE]]="",tbl_Produk[[#This Row],[PROMO MERCHANT (%)]]=""),"",IFERROR(tbl_Produk[[#This Row],[HARGA CORET ONLINE]]*(1-tbl_Produk[[#This Row],[PROMO MERCHANT (%)]]),""))</f>
        <v>5000</v>
      </c>
    </row>
    <row r="28" spans="1:10">
      <c r="A28" s="8" t="s">
        <v>204</v>
      </c>
      <c r="B28" s="22" t="s">
        <v>101</v>
      </c>
      <c r="C28" s="94">
        <v>3000</v>
      </c>
      <c r="D28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1768.1299999999999</v>
      </c>
      <c r="E28" s="94">
        <f>IF(OR(NOT(ISNUMBER(tbl_Produk[[#This Row],[HPP PER UNIT]])),tbl_Produk[[#This Row],[HARGA JUAL OFFLINE]]=""),"",tbl_Produk[[#This Row],[HARGA JUAL OFFLINE]]-tbl_Produk[[#This Row],[HPP PER UNIT]])</f>
        <v>1231.8700000000001</v>
      </c>
      <c r="F28" s="25">
        <f>IF(OR(NOT(ISNUMBER(tbl_Produk[[#This Row],[HPP PER UNIT]])),tbl_Produk[[#This Row],[HARGA JUAL OFFLINE]]&lt;=0),"",IFERROR(tbl_Produk[[#This Row],[LABA PER UNIT (RP)]]/tbl_Produk[[#This Row],[HARGA JUAL OFFLINE]],""))</f>
        <v>0.4106233333333334</v>
      </c>
      <c r="G28" s="25">
        <v>0.38</v>
      </c>
      <c r="H28" s="25">
        <v>0</v>
      </c>
      <c r="I28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5000</v>
      </c>
      <c r="J28" s="92">
        <f>IF(OR(tbl_Produk[[#This Row],[HARGA CORET ONLINE]]="",tbl_Produk[[#This Row],[PROMO MERCHANT (%)]]=""),"",IFERROR(tbl_Produk[[#This Row],[HARGA CORET ONLINE]]*(1-tbl_Produk[[#This Row],[PROMO MERCHANT (%)]]),""))</f>
        <v>5000</v>
      </c>
    </row>
    <row r="29" spans="1:10">
      <c r="A29" s="8" t="s">
        <v>205</v>
      </c>
      <c r="B29" s="22" t="s">
        <v>102</v>
      </c>
      <c r="C29" s="94">
        <v>3000</v>
      </c>
      <c r="D29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2099.8300000000004</v>
      </c>
      <c r="E29" s="94">
        <f>IF(OR(NOT(ISNUMBER(tbl_Produk[[#This Row],[HPP PER UNIT]])),tbl_Produk[[#This Row],[HARGA JUAL OFFLINE]]=""),"",tbl_Produk[[#This Row],[HARGA JUAL OFFLINE]]-tbl_Produk[[#This Row],[HPP PER UNIT]])</f>
        <v>900.16999999999962</v>
      </c>
      <c r="F29" s="25">
        <f>IF(OR(NOT(ISNUMBER(tbl_Produk[[#This Row],[HPP PER UNIT]])),tbl_Produk[[#This Row],[HARGA JUAL OFFLINE]]&lt;=0),"",IFERROR(tbl_Produk[[#This Row],[LABA PER UNIT (RP)]]/tbl_Produk[[#This Row],[HARGA JUAL OFFLINE]],""))</f>
        <v>0.30005666666666653</v>
      </c>
      <c r="G29" s="25">
        <v>0.38</v>
      </c>
      <c r="H29" s="25">
        <v>0</v>
      </c>
      <c r="I29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5000</v>
      </c>
      <c r="J29" s="92">
        <f>IF(OR(tbl_Produk[[#This Row],[HARGA CORET ONLINE]]="",tbl_Produk[[#This Row],[PROMO MERCHANT (%)]]=""),"",IFERROR(tbl_Produk[[#This Row],[HARGA CORET ONLINE]]*(1-tbl_Produk[[#This Row],[PROMO MERCHANT (%)]]),""))</f>
        <v>5000</v>
      </c>
    </row>
    <row r="30" spans="1:10">
      <c r="A30" s="8" t="s">
        <v>206</v>
      </c>
      <c r="B30" s="22" t="s">
        <v>103</v>
      </c>
      <c r="C30" s="94">
        <v>3000</v>
      </c>
      <c r="D30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2288.67</v>
      </c>
      <c r="E30" s="94">
        <f>IF(OR(NOT(ISNUMBER(tbl_Produk[[#This Row],[HPP PER UNIT]])),tbl_Produk[[#This Row],[HARGA JUAL OFFLINE]]=""),"",tbl_Produk[[#This Row],[HARGA JUAL OFFLINE]]-tbl_Produk[[#This Row],[HPP PER UNIT]])</f>
        <v>711.32999999999993</v>
      </c>
      <c r="F30" s="25">
        <f>IF(OR(NOT(ISNUMBER(tbl_Produk[[#This Row],[HPP PER UNIT]])),tbl_Produk[[#This Row],[HARGA JUAL OFFLINE]]&lt;=0),"",IFERROR(tbl_Produk[[#This Row],[LABA PER UNIT (RP)]]/tbl_Produk[[#This Row],[HARGA JUAL OFFLINE]],""))</f>
        <v>0.23710999999999999</v>
      </c>
      <c r="G30" s="25">
        <v>0.38</v>
      </c>
      <c r="H30" s="25">
        <v>0</v>
      </c>
      <c r="I30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5000</v>
      </c>
      <c r="J30" s="92">
        <f>IF(OR(tbl_Produk[[#This Row],[HARGA CORET ONLINE]]="",tbl_Produk[[#This Row],[PROMO MERCHANT (%)]]=""),"",IFERROR(tbl_Produk[[#This Row],[HARGA CORET ONLINE]]*(1-tbl_Produk[[#This Row],[PROMO MERCHANT (%)]]),""))</f>
        <v>5000</v>
      </c>
    </row>
    <row r="31" spans="1:10">
      <c r="A31" s="8" t="s">
        <v>207</v>
      </c>
      <c r="B31" s="22" t="s">
        <v>104</v>
      </c>
      <c r="C31" s="94">
        <v>5000</v>
      </c>
      <c r="D31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4601.2</v>
      </c>
      <c r="E31" s="94">
        <f>IF(OR(NOT(ISNUMBER(tbl_Produk[[#This Row],[HPP PER UNIT]])),tbl_Produk[[#This Row],[HARGA JUAL OFFLINE]]=""),"",tbl_Produk[[#This Row],[HARGA JUAL OFFLINE]]-tbl_Produk[[#This Row],[HPP PER UNIT]])</f>
        <v>398.80000000000018</v>
      </c>
      <c r="F31" s="25">
        <f>IF(OR(NOT(ISNUMBER(tbl_Produk[[#This Row],[HPP PER UNIT]])),tbl_Produk[[#This Row],[HARGA JUAL OFFLINE]]&lt;=0),"",IFERROR(tbl_Produk[[#This Row],[LABA PER UNIT (RP)]]/tbl_Produk[[#This Row],[HARGA JUAL OFFLINE]],""))</f>
        <v>7.9760000000000039E-2</v>
      </c>
      <c r="G31" s="25">
        <v>0.38</v>
      </c>
      <c r="H31" s="25">
        <v>0</v>
      </c>
      <c r="I31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8500</v>
      </c>
      <c r="J31" s="92">
        <f>IF(OR(tbl_Produk[[#This Row],[HARGA CORET ONLINE]]="",tbl_Produk[[#This Row],[PROMO MERCHANT (%)]]=""),"",IFERROR(tbl_Produk[[#This Row],[HARGA CORET ONLINE]]*(1-tbl_Produk[[#This Row],[PROMO MERCHANT (%)]]),""))</f>
        <v>8500</v>
      </c>
    </row>
    <row r="32" spans="1:10">
      <c r="A32" s="8" t="s">
        <v>208</v>
      </c>
      <c r="B32" s="22" t="s">
        <v>105</v>
      </c>
      <c r="C32" s="94">
        <v>2000</v>
      </c>
      <c r="D32" s="94">
        <f>IF(COUNTIF(tblDetailHPP[KODE PRODUK],tbl_Produk[[#This Row],[KODE PRODUK]])=0,"",IF(COUNTIFS(tblDetailHPP[KODE PRODUK],tbl_Produk[[#This Row],[KODE PRODUK]],tblDetailHPP[STATUS HARGA],"OK")&lt;&gt;COUNTIF(tblDetailHPP[KODE PRODUK],tbl_Produk[[#This Row],[KODE PRODUK]]),"",SUMIFS(tblDetailHPP[BIAYA PEMAKAIAN],tblDetailHPP[KODE PRODUK],tbl_Produk[[#This Row],[KODE PRODUK]])))</f>
        <v>1627.6</v>
      </c>
      <c r="E32" s="94">
        <f>IF(OR(NOT(ISNUMBER(tbl_Produk[[#This Row],[HPP PER UNIT]])),tbl_Produk[[#This Row],[HARGA JUAL OFFLINE]]=""),"",tbl_Produk[[#This Row],[HARGA JUAL OFFLINE]]-tbl_Produk[[#This Row],[HPP PER UNIT]])</f>
        <v>372.40000000000009</v>
      </c>
      <c r="F32" s="25">
        <f>IF(OR(NOT(ISNUMBER(tbl_Produk[[#This Row],[HPP PER UNIT]])),tbl_Produk[[#This Row],[HARGA JUAL OFFLINE]]&lt;=0),"",IFERROR(tbl_Produk[[#This Row],[LABA PER UNIT (RP)]]/tbl_Produk[[#This Row],[HARGA JUAL OFFLINE]],""))</f>
        <v>0.18620000000000003</v>
      </c>
      <c r="G32" s="25">
        <v>0.38</v>
      </c>
      <c r="H32" s="25">
        <v>0</v>
      </c>
      <c r="I32" s="92">
        <f>IF(OR(tbl_Produk[[#This Row],[HARGA JUAL OFFLINE]]="",tbl_Produk[[#This Row],[KOMISI ONLINE (%)]]="",tbl_Produk[[#This Row],[PROMO MERCHANT (%)]]="",1-(tbl_Produk[[#This Row],[KOMISI ONLINE (%)]]+tbl_Produk[[#This Row],[PROMO MERCHANT (%)]] )&lt;=0),"",IFERROR(CEILING(tbl_Produk[[#This Row],[HARGA JUAL OFFLINE]]/(1-(tbl_Produk[[#This Row],[KOMISI ONLINE (%)]]+tbl_Produk[[#This Row],[PROMO MERCHANT (%)]])),500),""))</f>
        <v>3500</v>
      </c>
      <c r="J32" s="92">
        <f>IF(OR(tbl_Produk[[#This Row],[HARGA CORET ONLINE]]="",tbl_Produk[[#This Row],[PROMO MERCHANT (%)]]=""),"",IFERROR(tbl_Produk[[#This Row],[HARGA CORET ONLINE]]*(1-tbl_Produk[[#This Row],[PROMO MERCHANT (%)]]),""))</f>
        <v>3500</v>
      </c>
    </row>
    <row r="33" spans="1:1">
      <c r="A33" s="8"/>
    </row>
    <row r="34" spans="1:1">
      <c r="A34" s="8"/>
    </row>
    <row r="35" spans="1:1">
      <c r="A35" s="8"/>
    </row>
    <row r="36" spans="1:1">
      <c r="A36" s="8"/>
    </row>
  </sheetData>
  <dataValidations count="1">
    <dataValidation type="decimal" allowBlank="1" showInputMessage="1" showErrorMessage="1" errorTitle="Persentase tidak valid" error="Nilai harus berada di antara 0% dan 100%." promptTitle="Persentase 0%-100%" prompt="Masukkan nilai persentase antara 0% dan 100%, misalnya 38% atau 0%." sqref="G2:H32" xr:uid="{BACE0F18-DFAB-4182-83DE-B57C023B501E}">
      <formula1>0</formula1>
      <formula2>1</formula2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71168-8B92-4264-BA58-80972A6472C7}">
  <sheetPr codeName="Sheet5"/>
  <dimension ref="A1:AH36"/>
  <sheetViews>
    <sheetView zoomScale="75" zoomScaleNormal="7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H3" sqref="AH3"/>
    </sheetView>
  </sheetViews>
  <sheetFormatPr defaultRowHeight="14.5"/>
  <cols>
    <col min="1" max="1" width="12.7265625" customWidth="1"/>
    <col min="2" max="2" width="33.7265625" customWidth="1"/>
    <col min="3" max="33" width="8.7265625" style="9"/>
    <col min="34" max="34" width="35.54296875" customWidth="1"/>
  </cols>
  <sheetData>
    <row r="1" spans="1:34" s="20" customFormat="1" ht="19.5" thickTop="1" thickBot="1">
      <c r="A1" s="139" t="s">
        <v>112</v>
      </c>
      <c r="B1" s="141" t="s">
        <v>7</v>
      </c>
      <c r="C1" s="137" t="s">
        <v>229</v>
      </c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43" t="s">
        <v>233</v>
      </c>
    </row>
    <row r="2" spans="1:34" s="21" customFormat="1" ht="19.5" thickTop="1" thickBot="1">
      <c r="A2" s="140"/>
      <c r="B2" s="142"/>
      <c r="C2" s="67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8">
        <v>18</v>
      </c>
      <c r="U2" s="68">
        <v>19</v>
      </c>
      <c r="V2" s="68">
        <v>20</v>
      </c>
      <c r="W2" s="68">
        <v>21</v>
      </c>
      <c r="X2" s="68">
        <v>22</v>
      </c>
      <c r="Y2" s="68">
        <v>23</v>
      </c>
      <c r="Z2" s="68">
        <v>24</v>
      </c>
      <c r="AA2" s="68">
        <v>25</v>
      </c>
      <c r="AB2" s="68">
        <v>26</v>
      </c>
      <c r="AC2" s="68">
        <v>27</v>
      </c>
      <c r="AD2" s="68">
        <v>28</v>
      </c>
      <c r="AE2" s="68">
        <v>29</v>
      </c>
      <c r="AF2" s="68">
        <v>30</v>
      </c>
      <c r="AG2" s="69">
        <v>31</v>
      </c>
      <c r="AH2" s="144"/>
    </row>
    <row r="3" spans="1:34" ht="15" thickTop="1">
      <c r="A3" s="62" t="s">
        <v>363</v>
      </c>
      <c r="B3" s="13" t="str">
        <f>IFERROR(INDEX(tbl_Produk[NAMA PRODUK], MATCH(A3, tbl_Produk[KODE PRODUK], 0)), "")</f>
        <v>AIR MINERAL 600 ML</v>
      </c>
      <c r="AH3" s="63">
        <f>SUM(C3:AG3)</f>
        <v>0</v>
      </c>
    </row>
    <row r="4" spans="1:34">
      <c r="A4" s="62" t="s">
        <v>179</v>
      </c>
      <c r="B4" s="13" t="str">
        <f>IFERROR(INDEX(tbl_Produk[NAMA PRODUK], MATCH(A4, tbl_Produk[KODE PRODUK], 0)), "")</f>
        <v>AYAM CRISPY ORIGINAL</v>
      </c>
      <c r="D4" s="9">
        <v>39</v>
      </c>
      <c r="E4" s="9">
        <v>4</v>
      </c>
      <c r="F4" s="9">
        <v>17</v>
      </c>
      <c r="I4" s="9">
        <v>4</v>
      </c>
      <c r="J4" s="9">
        <v>11</v>
      </c>
      <c r="K4" s="9">
        <v>12</v>
      </c>
      <c r="L4" s="9">
        <v>8</v>
      </c>
      <c r="N4" s="9">
        <v>3</v>
      </c>
      <c r="AH4" s="63">
        <f>SUM(C4:AG4)</f>
        <v>98</v>
      </c>
    </row>
    <row r="5" spans="1:34">
      <c r="A5" s="62" t="s">
        <v>180</v>
      </c>
      <c r="B5" s="13" t="str">
        <f>IFERROR(INDEX(tbl_Produk[NAMA PRODUK], MATCH(A5, tbl_Produk[KODE PRODUK], 0)), "")</f>
        <v>AYAM CRISPY ORIGINAL + NASI</v>
      </c>
      <c r="D5" s="9">
        <v>5</v>
      </c>
      <c r="E5" s="9">
        <v>1</v>
      </c>
      <c r="I5" s="9">
        <v>2</v>
      </c>
      <c r="J5" s="9">
        <v>1</v>
      </c>
      <c r="K5" s="9">
        <v>1</v>
      </c>
      <c r="L5" s="9">
        <v>1</v>
      </c>
      <c r="AH5" s="63">
        <f t="shared" ref="AH5:AH33" si="0">SUM(C5:AG5)</f>
        <v>11</v>
      </c>
    </row>
    <row r="6" spans="1:34">
      <c r="A6" s="64" t="s">
        <v>181</v>
      </c>
      <c r="B6" s="13" t="str">
        <f>IFERROR(INDEX(tbl_Produk[NAMA PRODUK], MATCH(A6, tbl_Produk[KODE PRODUK], 0)), "")</f>
        <v>AYAM GEPREK S. BAWANG</v>
      </c>
      <c r="E6" s="9">
        <v>2</v>
      </c>
      <c r="F6" s="9">
        <v>6</v>
      </c>
      <c r="I6" s="9">
        <v>1</v>
      </c>
      <c r="J6" s="9">
        <v>1</v>
      </c>
      <c r="K6" s="9">
        <v>1</v>
      </c>
      <c r="L6" s="9">
        <v>3</v>
      </c>
      <c r="AH6" s="63">
        <f t="shared" si="0"/>
        <v>14</v>
      </c>
    </row>
    <row r="7" spans="1:34">
      <c r="A7" s="64" t="s">
        <v>182</v>
      </c>
      <c r="B7" s="13" t="str">
        <f>IFERROR(INDEX(tbl_Produk[NAMA PRODUK], MATCH(A7, tbl_Produk[KODE PRODUK], 0)), "")</f>
        <v>AYAM GEPREK S. BAWANG + NASI</v>
      </c>
      <c r="D7" s="9">
        <v>4</v>
      </c>
      <c r="E7" s="9">
        <v>6</v>
      </c>
      <c r="F7" s="9">
        <v>1</v>
      </c>
      <c r="I7" s="9">
        <v>1</v>
      </c>
      <c r="J7" s="9">
        <v>4</v>
      </c>
      <c r="K7" s="9">
        <v>4</v>
      </c>
      <c r="L7" s="9">
        <v>5</v>
      </c>
      <c r="N7" s="9">
        <v>1</v>
      </c>
      <c r="AH7" s="63">
        <f t="shared" si="0"/>
        <v>26</v>
      </c>
    </row>
    <row r="8" spans="1:34">
      <c r="A8" s="64" t="s">
        <v>183</v>
      </c>
      <c r="B8" s="13" t="str">
        <f>IFERROR(INDEX(tbl_Produk[NAMA PRODUK], MATCH(A8, tbl_Produk[KODE PRODUK], 0)), "")</f>
        <v>AYAM GEPREK S. IJO</v>
      </c>
      <c r="AH8" s="63">
        <f t="shared" si="0"/>
        <v>0</v>
      </c>
    </row>
    <row r="9" spans="1:34">
      <c r="A9" s="64" t="s">
        <v>184</v>
      </c>
      <c r="B9" s="13" t="str">
        <f>IFERROR(INDEX(tbl_Produk[NAMA PRODUK], MATCH(A9, tbl_Produk[KODE PRODUK], 0)), "")</f>
        <v>AYAM GEPREK S. IJO + NASI</v>
      </c>
      <c r="AH9" s="63">
        <f t="shared" si="0"/>
        <v>0</v>
      </c>
    </row>
    <row r="10" spans="1:34">
      <c r="A10" s="64" t="s">
        <v>185</v>
      </c>
      <c r="B10" s="13" t="str">
        <f>IFERROR(INDEX(tbl_Produk[NAMA PRODUK], MATCH(A10, tbl_Produk[KODE PRODUK], 0)), "")</f>
        <v>AYAM GEPREK S. MATAH</v>
      </c>
      <c r="AH10" s="63">
        <f t="shared" si="0"/>
        <v>0</v>
      </c>
    </row>
    <row r="11" spans="1:34">
      <c r="A11" s="64" t="s">
        <v>186</v>
      </c>
      <c r="B11" s="13" t="str">
        <f>IFERROR(INDEX(tbl_Produk[NAMA PRODUK], MATCH(A11, tbl_Produk[KODE PRODUK], 0)), "")</f>
        <v>AYAM GEPREK S. MATAH + NASI</v>
      </c>
      <c r="AH11" s="63">
        <f t="shared" si="0"/>
        <v>0</v>
      </c>
    </row>
    <row r="12" spans="1:34">
      <c r="A12" s="64" t="s">
        <v>187</v>
      </c>
      <c r="B12" s="13" t="str">
        <f>IFERROR(INDEX(tbl_Produk[NAMA PRODUK], MATCH(A12, tbl_Produk[KODE PRODUK], 0)), "")</f>
        <v>AYAM SAUS BBQ</v>
      </c>
      <c r="I12" s="9">
        <v>1</v>
      </c>
      <c r="L12" s="9">
        <v>2</v>
      </c>
      <c r="N12" s="9">
        <v>2</v>
      </c>
      <c r="AH12" s="63">
        <f t="shared" si="0"/>
        <v>5</v>
      </c>
    </row>
    <row r="13" spans="1:34">
      <c r="A13" s="64" t="s">
        <v>188</v>
      </c>
      <c r="B13" s="13" t="str">
        <f>IFERROR(INDEX(tbl_Produk[NAMA PRODUK], MATCH(A13, tbl_Produk[KODE PRODUK], 0)), "")</f>
        <v>AYAM SAUS BBQ + NASI</v>
      </c>
      <c r="E13" s="9">
        <v>1</v>
      </c>
      <c r="F13" s="9">
        <v>1</v>
      </c>
      <c r="J13" s="9">
        <v>1</v>
      </c>
      <c r="AH13" s="63">
        <f t="shared" si="0"/>
        <v>3</v>
      </c>
    </row>
    <row r="14" spans="1:34">
      <c r="A14" s="64" t="s">
        <v>189</v>
      </c>
      <c r="B14" s="13" t="str">
        <f>IFERROR(INDEX(tbl_Produk[NAMA PRODUK], MATCH(A14, tbl_Produk[KODE PRODUK], 0)), "")</f>
        <v>AYAM SAUS BROCHEESE</v>
      </c>
      <c r="AH14" s="63">
        <f t="shared" si="0"/>
        <v>0</v>
      </c>
    </row>
    <row r="15" spans="1:34">
      <c r="A15" s="64" t="s">
        <v>190</v>
      </c>
      <c r="B15" s="13" t="str">
        <f>IFERROR(INDEX(tbl_Produk[NAMA PRODUK], MATCH(A15, tbl_Produk[KODE PRODUK], 0)), "")</f>
        <v>AYAM SAUS BROCHEESE + NASI</v>
      </c>
      <c r="D15" s="9">
        <v>1</v>
      </c>
      <c r="AH15" s="63">
        <f t="shared" si="0"/>
        <v>1</v>
      </c>
    </row>
    <row r="16" spans="1:34">
      <c r="A16" s="64" t="s">
        <v>191</v>
      </c>
      <c r="B16" s="13" t="str">
        <f>IFERROR(INDEX(tbl_Produk[NAMA PRODUK], MATCH(A16, tbl_Produk[KODE PRODUK], 0)), "")</f>
        <v>AYAM SAUS CREAMY CHEESE</v>
      </c>
      <c r="AH16" s="63">
        <f t="shared" si="0"/>
        <v>0</v>
      </c>
    </row>
    <row r="17" spans="1:34">
      <c r="A17" s="64" t="s">
        <v>192</v>
      </c>
      <c r="B17" s="13" t="str">
        <f>IFERROR(INDEX(tbl_Produk[NAMA PRODUK], MATCH(A17, tbl_Produk[KODE PRODUK], 0)), "")</f>
        <v>AYAM SAUS CREAMY CHEESE + NASI</v>
      </c>
      <c r="AH17" s="63">
        <f t="shared" si="0"/>
        <v>0</v>
      </c>
    </row>
    <row r="18" spans="1:34">
      <c r="A18" s="64" t="s">
        <v>193</v>
      </c>
      <c r="B18" s="13" t="str">
        <f>IFERROR(INDEX(tbl_Produk[NAMA PRODUK], MATCH(A18, tbl_Produk[KODE PRODUK], 0)), "")</f>
        <v>ES LEMON TEA</v>
      </c>
      <c r="AH18" s="63">
        <f t="shared" si="0"/>
        <v>0</v>
      </c>
    </row>
    <row r="19" spans="1:34">
      <c r="A19" s="64" t="s">
        <v>194</v>
      </c>
      <c r="B19" s="13" t="str">
        <f>IFERROR(INDEX(tbl_Produk[NAMA PRODUK], MATCH(A19, tbl_Produk[KODE PRODUK], 0)), "")</f>
        <v>ES MILO</v>
      </c>
      <c r="AH19" s="63">
        <f t="shared" si="0"/>
        <v>0</v>
      </c>
    </row>
    <row r="20" spans="1:34">
      <c r="A20" s="64" t="s">
        <v>195</v>
      </c>
      <c r="B20" s="13" t="str">
        <f>IFERROR(INDEX(tbl_Produk[NAMA PRODUK], MATCH(A20, tbl_Produk[KODE PRODUK], 0)), "")</f>
        <v>ES TEA</v>
      </c>
      <c r="AH20" s="63">
        <f t="shared" si="0"/>
        <v>0</v>
      </c>
    </row>
    <row r="21" spans="1:34">
      <c r="A21" s="64" t="s">
        <v>196</v>
      </c>
      <c r="B21" s="13" t="str">
        <f>IFERROR(INDEX(tbl_Produk[NAMA PRODUK], MATCH(A21, tbl_Produk[KODE PRODUK], 0)), "")</f>
        <v>FRENCH FRIES</v>
      </c>
      <c r="AH21" s="63">
        <f t="shared" si="0"/>
        <v>0</v>
      </c>
    </row>
    <row r="22" spans="1:34">
      <c r="A22" s="64" t="s">
        <v>197</v>
      </c>
      <c r="B22" s="13" t="str">
        <f>IFERROR(INDEX(tbl_Produk[NAMA PRODUK], MATCH(A22, tbl_Produk[KODE PRODUK], 0)), "")</f>
        <v>JAMUR CRISPY</v>
      </c>
      <c r="AH22" s="63">
        <f t="shared" si="0"/>
        <v>0</v>
      </c>
    </row>
    <row r="23" spans="1:34">
      <c r="A23" s="64" t="s">
        <v>198</v>
      </c>
      <c r="B23" s="13" t="str">
        <f>IFERROR(INDEX(tbl_Produk[NAMA PRODUK], MATCH(A23, tbl_Produk[KODE PRODUK], 0)), "")</f>
        <v>MILKSHAKE</v>
      </c>
      <c r="AH23" s="63">
        <f t="shared" si="0"/>
        <v>0</v>
      </c>
    </row>
    <row r="24" spans="1:34">
      <c r="A24" s="64" t="s">
        <v>199</v>
      </c>
      <c r="B24" s="13" t="str">
        <f>IFERROR(INDEX(tbl_Produk[NAMA PRODUK], MATCH(A24, tbl_Produk[KODE PRODUK], 0)), "")</f>
        <v>NASI PUTIH</v>
      </c>
      <c r="AH24" s="63">
        <f t="shared" si="0"/>
        <v>0</v>
      </c>
    </row>
    <row r="25" spans="1:34">
      <c r="A25" s="64" t="s">
        <v>200</v>
      </c>
      <c r="B25" s="13" t="str">
        <f>IFERROR(INDEX(tbl_Produk[NAMA PRODUK], MATCH(A25, tbl_Produk[KODE PRODUK], 0)), "")</f>
        <v>ONION RINGS</v>
      </c>
      <c r="AH25" s="63">
        <f t="shared" si="0"/>
        <v>0</v>
      </c>
    </row>
    <row r="26" spans="1:34">
      <c r="A26" s="64" t="s">
        <v>201</v>
      </c>
      <c r="B26" s="13" t="str">
        <f>IFERROR(INDEX(tbl_Produk[NAMA PRODUK], MATCH(A26, tbl_Produk[KODE PRODUK], 0)), "")</f>
        <v>SAMBAL BAWANG</v>
      </c>
      <c r="D26" s="9">
        <v>2</v>
      </c>
      <c r="K26" s="9">
        <v>1</v>
      </c>
      <c r="AH26" s="63">
        <f t="shared" si="0"/>
        <v>3</v>
      </c>
    </row>
    <row r="27" spans="1:34">
      <c r="A27" s="64" t="s">
        <v>202</v>
      </c>
      <c r="B27" s="13" t="str">
        <f>IFERROR(INDEX(tbl_Produk[NAMA PRODUK], MATCH(A27, tbl_Produk[KODE PRODUK], 0)), "")</f>
        <v>SAMBAL IJO</v>
      </c>
      <c r="AH27" s="63">
        <f t="shared" si="0"/>
        <v>0</v>
      </c>
    </row>
    <row r="28" spans="1:34">
      <c r="A28" s="64" t="s">
        <v>203</v>
      </c>
      <c r="B28" s="13" t="str">
        <f>IFERROR(INDEX(tbl_Produk[NAMA PRODUK], MATCH(A28, tbl_Produk[KODE PRODUK], 0)), "")</f>
        <v>SAMBAL MATAH</v>
      </c>
      <c r="AH28" s="63">
        <f t="shared" si="0"/>
        <v>0</v>
      </c>
    </row>
    <row r="29" spans="1:34">
      <c r="A29" s="64" t="s">
        <v>204</v>
      </c>
      <c r="B29" s="13" t="str">
        <f>IFERROR(INDEX(tbl_Produk[NAMA PRODUK], MATCH(A29, tbl_Produk[KODE PRODUK], 0)), "")</f>
        <v>SAUS BBQ</v>
      </c>
      <c r="L29" s="9">
        <v>0</v>
      </c>
      <c r="AH29" s="63">
        <f t="shared" si="0"/>
        <v>0</v>
      </c>
    </row>
    <row r="30" spans="1:34">
      <c r="A30" s="64" t="s">
        <v>205</v>
      </c>
      <c r="B30" s="13" t="str">
        <f>IFERROR(INDEX(tbl_Produk[NAMA PRODUK], MATCH(A30, tbl_Produk[KODE PRODUK], 0)), "")</f>
        <v>SAUS BROCHEESE</v>
      </c>
      <c r="AH30" s="63">
        <f t="shared" si="0"/>
        <v>0</v>
      </c>
    </row>
    <row r="31" spans="1:34">
      <c r="A31" s="64" t="s">
        <v>206</v>
      </c>
      <c r="B31" s="13" t="str">
        <f>IFERROR(INDEX(tbl_Produk[NAMA PRODUK], MATCH(A31, tbl_Produk[KODE PRODUK], 0)), "")</f>
        <v>SAUS CREAMY CHEESE</v>
      </c>
      <c r="AH31" s="63">
        <f t="shared" si="0"/>
        <v>0</v>
      </c>
    </row>
    <row r="32" spans="1:34">
      <c r="A32" s="64" t="s">
        <v>207</v>
      </c>
      <c r="B32" s="13" t="str">
        <f>IFERROR(INDEX(tbl_Produk[NAMA PRODUK], MATCH(A32, tbl_Produk[KODE PRODUK], 0)), "")</f>
        <v>TAHU CRISPY</v>
      </c>
      <c r="AH32" s="63">
        <f t="shared" si="0"/>
        <v>0</v>
      </c>
    </row>
    <row r="33" spans="1:34">
      <c r="A33" s="64" t="s">
        <v>208</v>
      </c>
      <c r="B33" s="13" t="str">
        <f>IFERROR(INDEX(tbl_Produk[NAMA PRODUK], MATCH(A33, tbl_Produk[KODE PRODUK], 0)), "")</f>
        <v>TOPPING KEJU</v>
      </c>
      <c r="AH33" s="63">
        <f t="shared" si="0"/>
        <v>0</v>
      </c>
    </row>
    <row r="34" spans="1:34" ht="30" customHeight="1" thickBot="1">
      <c r="A34" s="65"/>
      <c r="AH34" s="66">
        <f>SUM(AH3:AH33)</f>
        <v>161</v>
      </c>
    </row>
    <row r="35" spans="1:34" s="3" customFormat="1" ht="30" customHeight="1" thickTop="1" thickBot="1">
      <c r="A35" s="76"/>
      <c r="B35" s="77" t="s">
        <v>230</v>
      </c>
      <c r="C35" s="78">
        <f t="shared" ref="C35:AG35" si="1">SUM(C3:C33)</f>
        <v>0</v>
      </c>
      <c r="D35" s="78">
        <f t="shared" si="1"/>
        <v>51</v>
      </c>
      <c r="E35" s="78">
        <f t="shared" si="1"/>
        <v>14</v>
      </c>
      <c r="F35" s="78">
        <f t="shared" si="1"/>
        <v>25</v>
      </c>
      <c r="G35" s="78">
        <f t="shared" si="1"/>
        <v>0</v>
      </c>
      <c r="H35" s="78">
        <f t="shared" si="1"/>
        <v>0</v>
      </c>
      <c r="I35" s="78">
        <f t="shared" si="1"/>
        <v>9</v>
      </c>
      <c r="J35" s="78">
        <f t="shared" si="1"/>
        <v>18</v>
      </c>
      <c r="K35" s="78">
        <f t="shared" si="1"/>
        <v>19</v>
      </c>
      <c r="L35" s="78">
        <f t="shared" si="1"/>
        <v>19</v>
      </c>
      <c r="M35" s="78">
        <f t="shared" si="1"/>
        <v>0</v>
      </c>
      <c r="N35" s="78">
        <f t="shared" si="1"/>
        <v>6</v>
      </c>
      <c r="O35" s="78">
        <f t="shared" si="1"/>
        <v>0</v>
      </c>
      <c r="P35" s="78">
        <f t="shared" si="1"/>
        <v>0</v>
      </c>
      <c r="Q35" s="78">
        <f t="shared" si="1"/>
        <v>0</v>
      </c>
      <c r="R35" s="78">
        <f t="shared" si="1"/>
        <v>0</v>
      </c>
      <c r="S35" s="78">
        <f t="shared" si="1"/>
        <v>0</v>
      </c>
      <c r="T35" s="78">
        <f t="shared" si="1"/>
        <v>0</v>
      </c>
      <c r="U35" s="78">
        <f t="shared" si="1"/>
        <v>0</v>
      </c>
      <c r="V35" s="78">
        <f t="shared" si="1"/>
        <v>0</v>
      </c>
      <c r="W35" s="78">
        <f t="shared" si="1"/>
        <v>0</v>
      </c>
      <c r="X35" s="78">
        <f t="shared" si="1"/>
        <v>0</v>
      </c>
      <c r="Y35" s="78">
        <f t="shared" si="1"/>
        <v>0</v>
      </c>
      <c r="Z35" s="78">
        <f t="shared" si="1"/>
        <v>0</v>
      </c>
      <c r="AA35" s="78">
        <f t="shared" si="1"/>
        <v>0</v>
      </c>
      <c r="AB35" s="78">
        <f t="shared" si="1"/>
        <v>0</v>
      </c>
      <c r="AC35" s="78">
        <f t="shared" si="1"/>
        <v>0</v>
      </c>
      <c r="AD35" s="78">
        <f t="shared" si="1"/>
        <v>0</v>
      </c>
      <c r="AE35" s="78">
        <f t="shared" si="1"/>
        <v>0</v>
      </c>
      <c r="AF35" s="78">
        <f t="shared" si="1"/>
        <v>0</v>
      </c>
      <c r="AG35" s="78">
        <f t="shared" si="1"/>
        <v>0</v>
      </c>
      <c r="AH35" s="79"/>
    </row>
    <row r="36" spans="1:34" ht="15" thickTop="1"/>
  </sheetData>
  <mergeCells count="4">
    <mergeCell ref="C1:AG1"/>
    <mergeCell ref="A1:A2"/>
    <mergeCell ref="B1:B2"/>
    <mergeCell ref="AH1:AH2"/>
  </mergeCells>
  <conditionalFormatting sqref="C3:AG33">
    <cfRule type="expression" dxfId="2" priority="1">
      <formula>MOD(COLUMN(),2)=1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CC3BB-2703-4776-8CB3-E2BBAE58BF59}">
  <sheetPr codeName="Sheet6"/>
  <dimension ref="A1:AI36"/>
  <sheetViews>
    <sheetView zoomScale="75" zoomScaleNormal="75" workbookViewId="0">
      <pane xSplit="3" ySplit="2" topLeftCell="D19" activePane="bottomRight" state="frozen"/>
      <selection pane="topRight" activeCell="D1" sqref="D1"/>
      <selection pane="bottomLeft" activeCell="A3" sqref="A3"/>
      <selection pane="bottomRight" activeCell="L5" sqref="L5"/>
    </sheetView>
  </sheetViews>
  <sheetFormatPr defaultRowHeight="14.5"/>
  <cols>
    <col min="1" max="1" width="15.453125" customWidth="1"/>
    <col min="2" max="2" width="32.1796875" customWidth="1"/>
    <col min="3" max="3" width="17.26953125" style="11" customWidth="1"/>
    <col min="4" max="4" width="8.90625" style="4" bestFit="1" customWidth="1"/>
    <col min="5" max="5" width="14.26953125" style="4" customWidth="1"/>
    <col min="6" max="6" width="14.54296875" style="4" customWidth="1"/>
    <col min="7" max="7" width="13.54296875" style="4" customWidth="1"/>
    <col min="8" max="9" width="8.90625" style="4" bestFit="1" customWidth="1"/>
    <col min="10" max="10" width="12.6328125" style="4" customWidth="1"/>
    <col min="11" max="11" width="12.7265625" style="4" customWidth="1"/>
    <col min="12" max="12" width="12.6328125" style="4" customWidth="1"/>
    <col min="13" max="13" width="13.54296875" style="4" customWidth="1"/>
    <col min="14" max="14" width="8.90625" style="4" bestFit="1" customWidth="1"/>
    <col min="15" max="15" width="14.26953125" style="4" customWidth="1"/>
    <col min="16" max="34" width="8.90625" style="4" bestFit="1" customWidth="1"/>
    <col min="35" max="35" width="31.1796875" style="2" customWidth="1"/>
  </cols>
  <sheetData>
    <row r="1" spans="1:35" ht="19.5" thickTop="1" thickBot="1">
      <c r="A1" s="149" t="s">
        <v>112</v>
      </c>
      <c r="B1" s="151" t="s">
        <v>7</v>
      </c>
      <c r="C1" s="156" t="s">
        <v>215</v>
      </c>
      <c r="D1" s="153" t="s">
        <v>229</v>
      </c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5"/>
      <c r="AI1" s="147" t="s">
        <v>232</v>
      </c>
    </row>
    <row r="2" spans="1:35" ht="19.5" thickTop="1" thickBot="1">
      <c r="A2" s="150"/>
      <c r="B2" s="152"/>
      <c r="C2" s="157"/>
      <c r="D2" s="72">
        <v>1</v>
      </c>
      <c r="E2" s="73">
        <v>2</v>
      </c>
      <c r="F2" s="73">
        <v>3</v>
      </c>
      <c r="G2" s="73">
        <v>4</v>
      </c>
      <c r="H2" s="73">
        <v>5</v>
      </c>
      <c r="I2" s="73">
        <v>6</v>
      </c>
      <c r="J2" s="73">
        <v>7</v>
      </c>
      <c r="K2" s="73">
        <v>8</v>
      </c>
      <c r="L2" s="73">
        <v>9</v>
      </c>
      <c r="M2" s="73">
        <v>10</v>
      </c>
      <c r="N2" s="73">
        <v>11</v>
      </c>
      <c r="O2" s="73">
        <v>12</v>
      </c>
      <c r="P2" s="73">
        <v>13</v>
      </c>
      <c r="Q2" s="73">
        <v>14</v>
      </c>
      <c r="R2" s="73">
        <v>15</v>
      </c>
      <c r="S2" s="73">
        <v>16</v>
      </c>
      <c r="T2" s="73">
        <v>17</v>
      </c>
      <c r="U2" s="73">
        <v>18</v>
      </c>
      <c r="V2" s="73">
        <v>19</v>
      </c>
      <c r="W2" s="73">
        <v>20</v>
      </c>
      <c r="X2" s="73">
        <v>21</v>
      </c>
      <c r="Y2" s="73">
        <v>22</v>
      </c>
      <c r="Z2" s="73">
        <v>23</v>
      </c>
      <c r="AA2" s="73">
        <v>24</v>
      </c>
      <c r="AB2" s="73">
        <v>25</v>
      </c>
      <c r="AC2" s="73">
        <v>26</v>
      </c>
      <c r="AD2" s="73">
        <v>27</v>
      </c>
      <c r="AE2" s="73">
        <v>28</v>
      </c>
      <c r="AF2" s="73">
        <v>29</v>
      </c>
      <c r="AG2" s="73">
        <v>30</v>
      </c>
      <c r="AH2" s="73">
        <v>31</v>
      </c>
      <c r="AI2" s="148"/>
    </row>
    <row r="3" spans="1:35" ht="15" thickTop="1">
      <c r="A3" s="36" t="s">
        <v>363</v>
      </c>
      <c r="B3" s="13" t="str">
        <f>IFERROR(INDEX(tbl_Produk[NAMA PRODUK], MATCH(A3, tbl_Produk[KODE PRODUK], 0)), "")</f>
        <v>AIR MINERAL 600 ML</v>
      </c>
      <c r="C3" s="11">
        <f>IFERROR(INDEX(tbl_Produk[HARGA JUAL OFFLINE], MATCH(A3, tbl_Produk[KODE PRODUK], 0)), "")</f>
        <v>3000</v>
      </c>
      <c r="D3" s="11">
        <f>'PENJUALAN (QTY)'!C3 * C3</f>
        <v>0</v>
      </c>
      <c r="E3" s="11">
        <f>'PENJUALAN (QTY)'!D3 * C3</f>
        <v>0</v>
      </c>
      <c r="F3" s="11">
        <f>'PENJUALAN (QTY)'!E3 * C3</f>
        <v>0</v>
      </c>
      <c r="G3" s="11">
        <f>'PENJUALAN (QTY)'!F3 * C3</f>
        <v>0</v>
      </c>
      <c r="H3" s="11">
        <f>'PENJUALAN (QTY)'!G3 * C3</f>
        <v>0</v>
      </c>
      <c r="I3" s="11">
        <f>'PENJUALAN (QTY)'!H3 * C3</f>
        <v>0</v>
      </c>
      <c r="J3" s="11">
        <f>'PENJUALAN (QTY)'!I3 * C3</f>
        <v>0</v>
      </c>
      <c r="K3" s="11">
        <f>'PENJUALAN (QTY)'!J3 * C3</f>
        <v>0</v>
      </c>
      <c r="L3" s="11">
        <f>'PENJUALAN (QTY)'!K3 * C3</f>
        <v>0</v>
      </c>
      <c r="M3" s="11">
        <f>'PENJUALAN (QTY)'!L3 * C3</f>
        <v>0</v>
      </c>
      <c r="N3" s="11">
        <f>'PENJUALAN (QTY)'!M3 * C3</f>
        <v>0</v>
      </c>
      <c r="O3" s="11">
        <f>'PENJUALAN (QTY)'!N3 * C3</f>
        <v>0</v>
      </c>
      <c r="P3" s="11">
        <f>'PENJUALAN (QTY)'!O3 * C3</f>
        <v>0</v>
      </c>
      <c r="Q3" s="11">
        <f>'PENJUALAN (QTY)'!P3 * C3</f>
        <v>0</v>
      </c>
      <c r="R3" s="11">
        <f>'PENJUALAN (QTY)'!Q3 * C3</f>
        <v>0</v>
      </c>
      <c r="S3" s="11">
        <f>'PENJUALAN (QTY)'!R3 * C3</f>
        <v>0</v>
      </c>
      <c r="T3" s="11">
        <f>'PENJUALAN (QTY)'!S3 * C3</f>
        <v>0</v>
      </c>
      <c r="U3" s="11">
        <f>'PENJUALAN (QTY)'!T3 * C3</f>
        <v>0</v>
      </c>
      <c r="V3" s="11">
        <f>'PENJUALAN (QTY)'!U3 * C3</f>
        <v>0</v>
      </c>
      <c r="W3" s="11">
        <f>'PENJUALAN (QTY)'!V3 * C3</f>
        <v>0</v>
      </c>
      <c r="X3" s="11">
        <f>'PENJUALAN (QTY)'!W3 * C3</f>
        <v>0</v>
      </c>
      <c r="Y3" s="11">
        <f>'PENJUALAN (QTY)'!X3 * C3</f>
        <v>0</v>
      </c>
      <c r="Z3" s="11">
        <f>'PENJUALAN (QTY)'!Y3 * C3</f>
        <v>0</v>
      </c>
      <c r="AA3" s="11">
        <f>'PENJUALAN (QTY)'!Z3 * C3</f>
        <v>0</v>
      </c>
      <c r="AB3" s="11">
        <f>'PENJUALAN (QTY)'!AA3 * C3</f>
        <v>0</v>
      </c>
      <c r="AC3" s="11">
        <f>'PENJUALAN (QTY)'!AB3 * C3</f>
        <v>0</v>
      </c>
      <c r="AD3" s="11">
        <f>'PENJUALAN (QTY)'!AC3 * C3</f>
        <v>0</v>
      </c>
      <c r="AE3" s="11">
        <f>'PENJUALAN (QTY)'!AD3 * C3</f>
        <v>0</v>
      </c>
      <c r="AF3" s="11">
        <f>'PENJUALAN (QTY)'!AE3 * C3</f>
        <v>0</v>
      </c>
      <c r="AG3" s="11">
        <f>'PENJUALAN (QTY)'!AF3 * C3</f>
        <v>0</v>
      </c>
      <c r="AH3" s="11">
        <f>'PENJUALAN (QTY)'!AG3 * C3</f>
        <v>0</v>
      </c>
      <c r="AI3" s="53">
        <f>SUM(D3:AH3)</f>
        <v>0</v>
      </c>
    </row>
    <row r="4" spans="1:35">
      <c r="A4" s="36" t="s">
        <v>179</v>
      </c>
      <c r="B4" s="13" t="str">
        <f>IFERROR(INDEX(tbl_Produk[NAMA PRODUK], MATCH(A4, tbl_Produk[KODE PRODUK], 0)), "")</f>
        <v>AYAM CRISPY ORIGINAL</v>
      </c>
      <c r="C4" s="11">
        <f>IFERROR(INDEX(tbl_Produk[HARGA JUAL OFFLINE], MATCH(A4, tbl_Produk[KODE PRODUK], 0)), "")</f>
        <v>6000</v>
      </c>
      <c r="D4" s="11">
        <f>'PENJUALAN (QTY)'!C4 * C4</f>
        <v>0</v>
      </c>
      <c r="E4" s="11">
        <f>'PENJUALAN (QTY)'!D4 * C4</f>
        <v>234000</v>
      </c>
      <c r="F4" s="11">
        <f>'PENJUALAN (QTY)'!E4 * C4</f>
        <v>24000</v>
      </c>
      <c r="G4" s="11">
        <f>'PENJUALAN (QTY)'!F4 * C4</f>
        <v>102000</v>
      </c>
      <c r="H4" s="11">
        <f>'PENJUALAN (QTY)'!G4 * C4</f>
        <v>0</v>
      </c>
      <c r="I4" s="11">
        <f>'PENJUALAN (QTY)'!H4 * C4</f>
        <v>0</v>
      </c>
      <c r="J4" s="11">
        <f>'PENJUALAN (QTY)'!I4 * C4</f>
        <v>24000</v>
      </c>
      <c r="K4" s="11">
        <f>'PENJUALAN (QTY)'!J4 * C4</f>
        <v>66000</v>
      </c>
      <c r="L4" s="11">
        <f>'PENJUALAN (QTY)'!K4 * C4</f>
        <v>72000</v>
      </c>
      <c r="M4" s="11">
        <f>'PENJUALAN (QTY)'!L4 * C4</f>
        <v>48000</v>
      </c>
      <c r="N4" s="11">
        <f>'PENJUALAN (QTY)'!M4 * C4</f>
        <v>0</v>
      </c>
      <c r="O4" s="11">
        <f>'PENJUALAN (QTY)'!N4 * C4</f>
        <v>18000</v>
      </c>
      <c r="P4" s="11">
        <f>'PENJUALAN (QTY)'!O4 * C4</f>
        <v>0</v>
      </c>
      <c r="Q4" s="11">
        <f>'PENJUALAN (QTY)'!P4 * C4</f>
        <v>0</v>
      </c>
      <c r="R4" s="11">
        <f>'PENJUALAN (QTY)'!Q4 * C4</f>
        <v>0</v>
      </c>
      <c r="S4" s="11">
        <f>'PENJUALAN (QTY)'!R4 * C4</f>
        <v>0</v>
      </c>
      <c r="T4" s="11">
        <f>'PENJUALAN (QTY)'!S4 * C4</f>
        <v>0</v>
      </c>
      <c r="U4" s="11">
        <f>'PENJUALAN (QTY)'!T4 * C4</f>
        <v>0</v>
      </c>
      <c r="V4" s="11">
        <f>'PENJUALAN (QTY)'!U4 * C4</f>
        <v>0</v>
      </c>
      <c r="W4" s="11">
        <f>'PENJUALAN (QTY)'!V4 * C4</f>
        <v>0</v>
      </c>
      <c r="X4" s="11">
        <f>'PENJUALAN (QTY)'!W4 * C4</f>
        <v>0</v>
      </c>
      <c r="Y4" s="11">
        <f>'PENJUALAN (QTY)'!X4 * C4</f>
        <v>0</v>
      </c>
      <c r="Z4" s="11">
        <f>'PENJUALAN (QTY)'!Y4 * C4</f>
        <v>0</v>
      </c>
      <c r="AA4" s="11">
        <f>'PENJUALAN (QTY)'!Z4 * C4</f>
        <v>0</v>
      </c>
      <c r="AB4" s="11">
        <f>'PENJUALAN (QTY)'!AA4 * C4</f>
        <v>0</v>
      </c>
      <c r="AC4" s="11">
        <f>'PENJUALAN (QTY)'!AB4 * C4</f>
        <v>0</v>
      </c>
      <c r="AD4" s="11">
        <f>'PENJUALAN (QTY)'!AC4 * C4</f>
        <v>0</v>
      </c>
      <c r="AE4" s="11">
        <f>'PENJUALAN (QTY)'!AD4 * C4</f>
        <v>0</v>
      </c>
      <c r="AF4" s="11">
        <f>'PENJUALAN (QTY)'!AE4 * C4</f>
        <v>0</v>
      </c>
      <c r="AG4" s="11">
        <f>'PENJUALAN (QTY)'!AF4 * C4</f>
        <v>0</v>
      </c>
      <c r="AH4" s="11">
        <f>'PENJUALAN (QTY)'!AG4 * C4</f>
        <v>0</v>
      </c>
      <c r="AI4" s="53">
        <f t="shared" ref="AI4:AI33" si="0">SUM(D4:AH4)</f>
        <v>588000</v>
      </c>
    </row>
    <row r="5" spans="1:35">
      <c r="A5" s="36" t="s">
        <v>180</v>
      </c>
      <c r="B5" s="13" t="str">
        <f>IFERROR(INDEX(tbl_Produk[NAMA PRODUK], MATCH(A5, tbl_Produk[KODE PRODUK], 0)), "")</f>
        <v>AYAM CRISPY ORIGINAL + NASI</v>
      </c>
      <c r="C5" s="11">
        <f>IFERROR(INDEX(tbl_Produk[HARGA JUAL OFFLINE], MATCH(A5, tbl_Produk[KODE PRODUK], 0)), "")</f>
        <v>9000</v>
      </c>
      <c r="D5" s="11">
        <f>'PENJUALAN (QTY)'!C5 * C5</f>
        <v>0</v>
      </c>
      <c r="E5" s="11">
        <f>'PENJUALAN (QTY)'!D5 * C5</f>
        <v>45000</v>
      </c>
      <c r="F5" s="11">
        <f>'PENJUALAN (QTY)'!E5 * C5</f>
        <v>9000</v>
      </c>
      <c r="G5" s="11">
        <f>'PENJUALAN (QTY)'!F5 * C5</f>
        <v>0</v>
      </c>
      <c r="H5" s="11">
        <f>'PENJUALAN (QTY)'!G5 * C5</f>
        <v>0</v>
      </c>
      <c r="I5" s="11">
        <f>'PENJUALAN (QTY)'!H5 * C5</f>
        <v>0</v>
      </c>
      <c r="J5" s="11">
        <f>'PENJUALAN (QTY)'!I5 * C5</f>
        <v>18000</v>
      </c>
      <c r="K5" s="11">
        <f>'PENJUALAN (QTY)'!J5 * C5</f>
        <v>9000</v>
      </c>
      <c r="L5" s="11">
        <f>'PENJUALAN (QTY)'!K5 * C5</f>
        <v>9000</v>
      </c>
      <c r="M5" s="11">
        <f>'PENJUALAN (QTY)'!L5 * C5</f>
        <v>9000</v>
      </c>
      <c r="N5" s="11">
        <f>'PENJUALAN (QTY)'!M5 * C5</f>
        <v>0</v>
      </c>
      <c r="O5" s="11">
        <f>'PENJUALAN (QTY)'!N5 * C5</f>
        <v>0</v>
      </c>
      <c r="P5" s="11">
        <f>'PENJUALAN (QTY)'!O5 * C5</f>
        <v>0</v>
      </c>
      <c r="Q5" s="11">
        <f>'PENJUALAN (QTY)'!P5 * C5</f>
        <v>0</v>
      </c>
      <c r="R5" s="11">
        <f>'PENJUALAN (QTY)'!Q5 * C5</f>
        <v>0</v>
      </c>
      <c r="S5" s="11">
        <f>'PENJUALAN (QTY)'!R5 * C5</f>
        <v>0</v>
      </c>
      <c r="T5" s="11">
        <f>'PENJUALAN (QTY)'!S5 * C5</f>
        <v>0</v>
      </c>
      <c r="U5" s="11">
        <f>'PENJUALAN (QTY)'!T5 * C5</f>
        <v>0</v>
      </c>
      <c r="V5" s="11">
        <f>'PENJUALAN (QTY)'!U5 * C5</f>
        <v>0</v>
      </c>
      <c r="W5" s="11">
        <f>'PENJUALAN (QTY)'!V5 * C5</f>
        <v>0</v>
      </c>
      <c r="X5" s="11">
        <f>'PENJUALAN (QTY)'!W5 * C5</f>
        <v>0</v>
      </c>
      <c r="Y5" s="11">
        <f>'PENJUALAN (QTY)'!X5 * C5</f>
        <v>0</v>
      </c>
      <c r="Z5" s="11">
        <f>'PENJUALAN (QTY)'!Y5 * C5</f>
        <v>0</v>
      </c>
      <c r="AA5" s="11">
        <f>'PENJUALAN (QTY)'!Z5 * C5</f>
        <v>0</v>
      </c>
      <c r="AB5" s="11">
        <f>'PENJUALAN (QTY)'!AA5 * C5</f>
        <v>0</v>
      </c>
      <c r="AC5" s="11">
        <f>'PENJUALAN (QTY)'!AB5 * C5</f>
        <v>0</v>
      </c>
      <c r="AD5" s="11">
        <f>'PENJUALAN (QTY)'!AC5 * C5</f>
        <v>0</v>
      </c>
      <c r="AE5" s="11">
        <f>'PENJUALAN (QTY)'!AD5 * C5</f>
        <v>0</v>
      </c>
      <c r="AF5" s="11">
        <f>'PENJUALAN (QTY)'!AE5 * C5</f>
        <v>0</v>
      </c>
      <c r="AG5" s="11">
        <f>'PENJUALAN (QTY)'!AF5 * C5</f>
        <v>0</v>
      </c>
      <c r="AH5" s="11">
        <f>'PENJUALAN (QTY)'!AG5 * C5</f>
        <v>0</v>
      </c>
      <c r="AI5" s="53">
        <f t="shared" si="0"/>
        <v>99000</v>
      </c>
    </row>
    <row r="6" spans="1:35">
      <c r="A6" s="38" t="s">
        <v>181</v>
      </c>
      <c r="B6" s="13" t="str">
        <f>IFERROR(INDEX(tbl_Produk[NAMA PRODUK], MATCH(A6, tbl_Produk[KODE PRODUK], 0)), "")</f>
        <v>AYAM GEPREK S. BAWANG</v>
      </c>
      <c r="C6" s="11">
        <f>IFERROR(INDEX(tbl_Produk[HARGA JUAL OFFLINE], MATCH(A6, tbl_Produk[KODE PRODUK], 0)), "")</f>
        <v>9000</v>
      </c>
      <c r="D6" s="11">
        <f>'PENJUALAN (QTY)'!C6 * C6</f>
        <v>0</v>
      </c>
      <c r="E6" s="11">
        <f>'PENJUALAN (QTY)'!D6 * C6</f>
        <v>0</v>
      </c>
      <c r="F6" s="11">
        <f>'PENJUALAN (QTY)'!E6 * C6</f>
        <v>18000</v>
      </c>
      <c r="G6" s="11">
        <f>'PENJUALAN (QTY)'!F6 * C6</f>
        <v>54000</v>
      </c>
      <c r="H6" s="11">
        <f>'PENJUALAN (QTY)'!G6 * C6</f>
        <v>0</v>
      </c>
      <c r="I6" s="11">
        <f>'PENJUALAN (QTY)'!H6 * C6</f>
        <v>0</v>
      </c>
      <c r="J6" s="11">
        <f>'PENJUALAN (QTY)'!I6 * C6</f>
        <v>9000</v>
      </c>
      <c r="K6" s="11">
        <f>'PENJUALAN (QTY)'!J6 * C6</f>
        <v>9000</v>
      </c>
      <c r="L6" s="11">
        <f>'PENJUALAN (QTY)'!K6 * C6</f>
        <v>9000</v>
      </c>
      <c r="M6" s="11">
        <f>'PENJUALAN (QTY)'!L6 * C6</f>
        <v>27000</v>
      </c>
      <c r="N6" s="11">
        <f>'PENJUALAN (QTY)'!M6 * C6</f>
        <v>0</v>
      </c>
      <c r="O6" s="11">
        <f>'PENJUALAN (QTY)'!N6 * C6</f>
        <v>0</v>
      </c>
      <c r="P6" s="11">
        <f>'PENJUALAN (QTY)'!O6 * C6</f>
        <v>0</v>
      </c>
      <c r="Q6" s="11">
        <f>'PENJUALAN (QTY)'!P6 * C6</f>
        <v>0</v>
      </c>
      <c r="R6" s="11">
        <f>'PENJUALAN (QTY)'!Q6 * C6</f>
        <v>0</v>
      </c>
      <c r="S6" s="11">
        <f>'PENJUALAN (QTY)'!R6 * C6</f>
        <v>0</v>
      </c>
      <c r="T6" s="11">
        <f>'PENJUALAN (QTY)'!S6 * C6</f>
        <v>0</v>
      </c>
      <c r="U6" s="11">
        <f>'PENJUALAN (QTY)'!T6 * C6</f>
        <v>0</v>
      </c>
      <c r="V6" s="11">
        <f>'PENJUALAN (QTY)'!U6 * C6</f>
        <v>0</v>
      </c>
      <c r="W6" s="11">
        <f>'PENJUALAN (QTY)'!V6 * C6</f>
        <v>0</v>
      </c>
      <c r="X6" s="11">
        <f>'PENJUALAN (QTY)'!W6 * C6</f>
        <v>0</v>
      </c>
      <c r="Y6" s="11">
        <f>'PENJUALAN (QTY)'!X6 * C6</f>
        <v>0</v>
      </c>
      <c r="Z6" s="11">
        <f>'PENJUALAN (QTY)'!Y6 * C6</f>
        <v>0</v>
      </c>
      <c r="AA6" s="11">
        <f>'PENJUALAN (QTY)'!Z6 * C6</f>
        <v>0</v>
      </c>
      <c r="AB6" s="11">
        <f>'PENJUALAN (QTY)'!AA6 * C6</f>
        <v>0</v>
      </c>
      <c r="AC6" s="11">
        <f>'PENJUALAN (QTY)'!AB6 * C6</f>
        <v>0</v>
      </c>
      <c r="AD6" s="11">
        <f>'PENJUALAN (QTY)'!AC6 * C6</f>
        <v>0</v>
      </c>
      <c r="AE6" s="11">
        <f>'PENJUALAN (QTY)'!AD6 * C6</f>
        <v>0</v>
      </c>
      <c r="AF6" s="11">
        <f>'PENJUALAN (QTY)'!AE6 * C6</f>
        <v>0</v>
      </c>
      <c r="AG6" s="11">
        <f>'PENJUALAN (QTY)'!AF6 * C6</f>
        <v>0</v>
      </c>
      <c r="AH6" s="11">
        <f>'PENJUALAN (QTY)'!AG6 * C6</f>
        <v>0</v>
      </c>
      <c r="AI6" s="53">
        <f t="shared" si="0"/>
        <v>126000</v>
      </c>
    </row>
    <row r="7" spans="1:35">
      <c r="A7" s="38" t="s">
        <v>182</v>
      </c>
      <c r="B7" s="13" t="str">
        <f>IFERROR(INDEX(tbl_Produk[NAMA PRODUK], MATCH(A7, tbl_Produk[KODE PRODUK], 0)), "")</f>
        <v>AYAM GEPREK S. BAWANG + NASI</v>
      </c>
      <c r="C7" s="11">
        <f>IFERROR(INDEX(tbl_Produk[HARGA JUAL OFFLINE], MATCH(A7, tbl_Produk[KODE PRODUK], 0)), "")</f>
        <v>11000</v>
      </c>
      <c r="D7" s="11">
        <f>'PENJUALAN (QTY)'!C7 * C7</f>
        <v>0</v>
      </c>
      <c r="E7" s="11">
        <f>'PENJUALAN (QTY)'!D7 * C7</f>
        <v>44000</v>
      </c>
      <c r="F7" s="11">
        <f>'PENJUALAN (QTY)'!E7 * C7</f>
        <v>66000</v>
      </c>
      <c r="G7" s="11">
        <f>'PENJUALAN (QTY)'!F7 * C7</f>
        <v>11000</v>
      </c>
      <c r="H7" s="11">
        <f>'PENJUALAN (QTY)'!G7 * C7</f>
        <v>0</v>
      </c>
      <c r="I7" s="11">
        <f>'PENJUALAN (QTY)'!H7 * C7</f>
        <v>0</v>
      </c>
      <c r="J7" s="11">
        <f>'PENJUALAN (QTY)'!I7 * C7</f>
        <v>11000</v>
      </c>
      <c r="K7" s="11">
        <f>'PENJUALAN (QTY)'!J7 * C7</f>
        <v>44000</v>
      </c>
      <c r="L7" s="11">
        <f>'PENJUALAN (QTY)'!K7 * C7</f>
        <v>44000</v>
      </c>
      <c r="M7" s="11">
        <f>'PENJUALAN (QTY)'!L7 * C7</f>
        <v>55000</v>
      </c>
      <c r="N7" s="11">
        <f>'PENJUALAN (QTY)'!M7 * C7</f>
        <v>0</v>
      </c>
      <c r="O7" s="11">
        <f>'PENJUALAN (QTY)'!N7 * C7</f>
        <v>11000</v>
      </c>
      <c r="P7" s="11">
        <f>'PENJUALAN (QTY)'!O7 * C7</f>
        <v>0</v>
      </c>
      <c r="Q7" s="11">
        <f>'PENJUALAN (QTY)'!P7 * C7</f>
        <v>0</v>
      </c>
      <c r="R7" s="11">
        <f>'PENJUALAN (QTY)'!Q7 * C7</f>
        <v>0</v>
      </c>
      <c r="S7" s="11">
        <f>'PENJUALAN (QTY)'!R7 * C7</f>
        <v>0</v>
      </c>
      <c r="T7" s="11">
        <f>'PENJUALAN (QTY)'!S7 * C7</f>
        <v>0</v>
      </c>
      <c r="U7" s="11">
        <f>'PENJUALAN (QTY)'!T7 * C7</f>
        <v>0</v>
      </c>
      <c r="V7" s="11">
        <f>'PENJUALAN (QTY)'!U7 * C7</f>
        <v>0</v>
      </c>
      <c r="W7" s="11">
        <f>'PENJUALAN (QTY)'!V7 * C7</f>
        <v>0</v>
      </c>
      <c r="X7" s="11">
        <f>'PENJUALAN (QTY)'!W7 * C7</f>
        <v>0</v>
      </c>
      <c r="Y7" s="11">
        <f>'PENJUALAN (QTY)'!X7 * C7</f>
        <v>0</v>
      </c>
      <c r="Z7" s="11">
        <f>'PENJUALAN (QTY)'!Y7 * C7</f>
        <v>0</v>
      </c>
      <c r="AA7" s="11">
        <f>'PENJUALAN (QTY)'!Z7 * C7</f>
        <v>0</v>
      </c>
      <c r="AB7" s="11">
        <f>'PENJUALAN (QTY)'!AA7 * C7</f>
        <v>0</v>
      </c>
      <c r="AC7" s="11">
        <f>'PENJUALAN (QTY)'!AB7 * C7</f>
        <v>0</v>
      </c>
      <c r="AD7" s="11">
        <f>'PENJUALAN (QTY)'!AC7 * C7</f>
        <v>0</v>
      </c>
      <c r="AE7" s="11">
        <f>'PENJUALAN (QTY)'!AD7 * C7</f>
        <v>0</v>
      </c>
      <c r="AF7" s="11">
        <f>'PENJUALAN (QTY)'!AE7 * C7</f>
        <v>0</v>
      </c>
      <c r="AG7" s="11">
        <f>'PENJUALAN (QTY)'!AF7 * C7</f>
        <v>0</v>
      </c>
      <c r="AH7" s="11">
        <f>'PENJUALAN (QTY)'!AG7 * C7</f>
        <v>0</v>
      </c>
      <c r="AI7" s="53">
        <f t="shared" si="0"/>
        <v>286000</v>
      </c>
    </row>
    <row r="8" spans="1:35">
      <c r="A8" s="38" t="s">
        <v>183</v>
      </c>
      <c r="B8" s="13" t="str">
        <f>IFERROR(INDEX(tbl_Produk[NAMA PRODUK], MATCH(A8, tbl_Produk[KODE PRODUK], 0)), "")</f>
        <v>AYAM GEPREK S. IJO</v>
      </c>
      <c r="C8" s="11">
        <f>IFERROR(INDEX(tbl_Produk[HARGA JUAL OFFLINE], MATCH(A8, tbl_Produk[KODE PRODUK], 0)), "")</f>
        <v>9000</v>
      </c>
      <c r="D8" s="11">
        <f>'PENJUALAN (QTY)'!C8 * C8</f>
        <v>0</v>
      </c>
      <c r="E8" s="11">
        <f>'PENJUALAN (QTY)'!D8 * C8</f>
        <v>0</v>
      </c>
      <c r="F8" s="11">
        <f>'PENJUALAN (QTY)'!E8 * C8</f>
        <v>0</v>
      </c>
      <c r="G8" s="11">
        <f>'PENJUALAN (QTY)'!F8 * C8</f>
        <v>0</v>
      </c>
      <c r="H8" s="11">
        <f>'PENJUALAN (QTY)'!G8 * C8</f>
        <v>0</v>
      </c>
      <c r="I8" s="11">
        <f>'PENJUALAN (QTY)'!H8 * C8</f>
        <v>0</v>
      </c>
      <c r="J8" s="11">
        <f>'PENJUALAN (QTY)'!I8 * C8</f>
        <v>0</v>
      </c>
      <c r="K8" s="11">
        <f>'PENJUALAN (QTY)'!J8 * C8</f>
        <v>0</v>
      </c>
      <c r="L8" s="11">
        <f>'PENJUALAN (QTY)'!K8 * C8</f>
        <v>0</v>
      </c>
      <c r="M8" s="11">
        <f>'PENJUALAN (QTY)'!L8 * C8</f>
        <v>0</v>
      </c>
      <c r="N8" s="11">
        <f>'PENJUALAN (QTY)'!M8 * C8</f>
        <v>0</v>
      </c>
      <c r="O8" s="11">
        <f>'PENJUALAN (QTY)'!N8 * C8</f>
        <v>0</v>
      </c>
      <c r="P8" s="11">
        <f>'PENJUALAN (QTY)'!O8 * C8</f>
        <v>0</v>
      </c>
      <c r="Q8" s="11">
        <f>'PENJUALAN (QTY)'!P8 * C8</f>
        <v>0</v>
      </c>
      <c r="R8" s="11">
        <f>'PENJUALAN (QTY)'!Q8 * C8</f>
        <v>0</v>
      </c>
      <c r="S8" s="11">
        <f>'PENJUALAN (QTY)'!R8 * C8</f>
        <v>0</v>
      </c>
      <c r="T8" s="11">
        <f>'PENJUALAN (QTY)'!S8 * C8</f>
        <v>0</v>
      </c>
      <c r="U8" s="11">
        <f>'PENJUALAN (QTY)'!T8 * C8</f>
        <v>0</v>
      </c>
      <c r="V8" s="11">
        <f>'PENJUALAN (QTY)'!U8 * C8</f>
        <v>0</v>
      </c>
      <c r="W8" s="11">
        <f>'PENJUALAN (QTY)'!V8 * C8</f>
        <v>0</v>
      </c>
      <c r="X8" s="11">
        <f>'PENJUALAN (QTY)'!W8 * C8</f>
        <v>0</v>
      </c>
      <c r="Y8" s="11">
        <f>'PENJUALAN (QTY)'!X8 * C8</f>
        <v>0</v>
      </c>
      <c r="Z8" s="11">
        <f>'PENJUALAN (QTY)'!Y8 * C8</f>
        <v>0</v>
      </c>
      <c r="AA8" s="11">
        <f>'PENJUALAN (QTY)'!Z8 * C8</f>
        <v>0</v>
      </c>
      <c r="AB8" s="11">
        <f>'PENJUALAN (QTY)'!AA8 * C8</f>
        <v>0</v>
      </c>
      <c r="AC8" s="11">
        <f>'PENJUALAN (QTY)'!AB8 * C8</f>
        <v>0</v>
      </c>
      <c r="AD8" s="11">
        <f>'PENJUALAN (QTY)'!AC8 * C8</f>
        <v>0</v>
      </c>
      <c r="AE8" s="11">
        <f>'PENJUALAN (QTY)'!AD8 * C8</f>
        <v>0</v>
      </c>
      <c r="AF8" s="11">
        <f>'PENJUALAN (QTY)'!AE8 * C8</f>
        <v>0</v>
      </c>
      <c r="AG8" s="11">
        <f>'PENJUALAN (QTY)'!AF8 * C8</f>
        <v>0</v>
      </c>
      <c r="AH8" s="11">
        <f>'PENJUALAN (QTY)'!AG8 * C8</f>
        <v>0</v>
      </c>
      <c r="AI8" s="53">
        <f t="shared" si="0"/>
        <v>0</v>
      </c>
    </row>
    <row r="9" spans="1:35">
      <c r="A9" s="38" t="s">
        <v>184</v>
      </c>
      <c r="B9" s="13" t="str">
        <f>IFERROR(INDEX(tbl_Produk[NAMA PRODUK], MATCH(A9, tbl_Produk[KODE PRODUK], 0)), "")</f>
        <v>AYAM GEPREK S. IJO + NASI</v>
      </c>
      <c r="C9" s="11">
        <f>IFERROR(INDEX(tbl_Produk[HARGA JUAL OFFLINE], MATCH(A9, tbl_Produk[KODE PRODUK], 0)), "")</f>
        <v>11000</v>
      </c>
      <c r="D9" s="11">
        <f>'PENJUALAN (QTY)'!C9 * C9</f>
        <v>0</v>
      </c>
      <c r="E9" s="11">
        <f>'PENJUALAN (QTY)'!D9 * C9</f>
        <v>0</v>
      </c>
      <c r="F9" s="11">
        <f>'PENJUALAN (QTY)'!E9 * C9</f>
        <v>0</v>
      </c>
      <c r="G9" s="11">
        <f>'PENJUALAN (QTY)'!F9 * C9</f>
        <v>0</v>
      </c>
      <c r="H9" s="11">
        <f>'PENJUALAN (QTY)'!G9 * C9</f>
        <v>0</v>
      </c>
      <c r="I9" s="11">
        <f>'PENJUALAN (QTY)'!H9 * C9</f>
        <v>0</v>
      </c>
      <c r="J9" s="11">
        <f>'PENJUALAN (QTY)'!I9 * C9</f>
        <v>0</v>
      </c>
      <c r="K9" s="11">
        <f>'PENJUALAN (QTY)'!J9 * C9</f>
        <v>0</v>
      </c>
      <c r="L9" s="11">
        <f>'PENJUALAN (QTY)'!K9 * C9</f>
        <v>0</v>
      </c>
      <c r="M9" s="11">
        <f>'PENJUALAN (QTY)'!L9 * C9</f>
        <v>0</v>
      </c>
      <c r="N9" s="11">
        <f>'PENJUALAN (QTY)'!M9 * C9</f>
        <v>0</v>
      </c>
      <c r="O9" s="11">
        <f>'PENJUALAN (QTY)'!N9 * C9</f>
        <v>0</v>
      </c>
      <c r="P9" s="11">
        <f>'PENJUALAN (QTY)'!O9 * C9</f>
        <v>0</v>
      </c>
      <c r="Q9" s="11">
        <f>'PENJUALAN (QTY)'!P9 * C9</f>
        <v>0</v>
      </c>
      <c r="R9" s="11">
        <f>'PENJUALAN (QTY)'!Q9 * C9</f>
        <v>0</v>
      </c>
      <c r="S9" s="11">
        <f>'PENJUALAN (QTY)'!R9 * C9</f>
        <v>0</v>
      </c>
      <c r="T9" s="11">
        <f>'PENJUALAN (QTY)'!S9 * C9</f>
        <v>0</v>
      </c>
      <c r="U9" s="11">
        <f>'PENJUALAN (QTY)'!T9 * C9</f>
        <v>0</v>
      </c>
      <c r="V9" s="11">
        <f>'PENJUALAN (QTY)'!U9 * C9</f>
        <v>0</v>
      </c>
      <c r="W9" s="11">
        <f>'PENJUALAN (QTY)'!V9 * C9</f>
        <v>0</v>
      </c>
      <c r="X9" s="11">
        <f>'PENJUALAN (QTY)'!W9 * C9</f>
        <v>0</v>
      </c>
      <c r="Y9" s="11">
        <f>'PENJUALAN (QTY)'!X9 * C9</f>
        <v>0</v>
      </c>
      <c r="Z9" s="11">
        <f>'PENJUALAN (QTY)'!Y9 * C9</f>
        <v>0</v>
      </c>
      <c r="AA9" s="11">
        <f>'PENJUALAN (QTY)'!Z9 * C9</f>
        <v>0</v>
      </c>
      <c r="AB9" s="11">
        <f>'PENJUALAN (QTY)'!AA9 * C9</f>
        <v>0</v>
      </c>
      <c r="AC9" s="11">
        <f>'PENJUALAN (QTY)'!AB9 * C9</f>
        <v>0</v>
      </c>
      <c r="AD9" s="11">
        <f>'PENJUALAN (QTY)'!AC9 * C9</f>
        <v>0</v>
      </c>
      <c r="AE9" s="11">
        <f>'PENJUALAN (QTY)'!AD9 * C9</f>
        <v>0</v>
      </c>
      <c r="AF9" s="11">
        <f>'PENJUALAN (QTY)'!AE9 * C9</f>
        <v>0</v>
      </c>
      <c r="AG9" s="11">
        <f>'PENJUALAN (QTY)'!AF9 * C9</f>
        <v>0</v>
      </c>
      <c r="AH9" s="11">
        <f>'PENJUALAN (QTY)'!AG9 * C9</f>
        <v>0</v>
      </c>
      <c r="AI9" s="53">
        <f t="shared" si="0"/>
        <v>0</v>
      </c>
    </row>
    <row r="10" spans="1:35">
      <c r="A10" s="38" t="s">
        <v>185</v>
      </c>
      <c r="B10" s="13" t="str">
        <f>IFERROR(INDEX(tbl_Produk[NAMA PRODUK], MATCH(A10, tbl_Produk[KODE PRODUK], 0)), "")</f>
        <v>AYAM GEPREK S. MATAH</v>
      </c>
      <c r="C10" s="11">
        <f>IFERROR(INDEX(tbl_Produk[HARGA JUAL OFFLINE], MATCH(A10, tbl_Produk[KODE PRODUK], 0)), "")</f>
        <v>9000</v>
      </c>
      <c r="D10" s="11">
        <f>'PENJUALAN (QTY)'!C10 * C10</f>
        <v>0</v>
      </c>
      <c r="E10" s="11">
        <f>'PENJUALAN (QTY)'!D10 * C10</f>
        <v>0</v>
      </c>
      <c r="F10" s="11">
        <f>'PENJUALAN (QTY)'!E10 * C10</f>
        <v>0</v>
      </c>
      <c r="G10" s="11">
        <f>'PENJUALAN (QTY)'!F10 * C10</f>
        <v>0</v>
      </c>
      <c r="H10" s="11">
        <f>'PENJUALAN (QTY)'!G10 * C10</f>
        <v>0</v>
      </c>
      <c r="I10" s="11">
        <f>'PENJUALAN (QTY)'!H10 * C10</f>
        <v>0</v>
      </c>
      <c r="J10" s="11">
        <f>'PENJUALAN (QTY)'!I10 * C10</f>
        <v>0</v>
      </c>
      <c r="K10" s="11">
        <f>'PENJUALAN (QTY)'!J10 * C10</f>
        <v>0</v>
      </c>
      <c r="L10" s="11">
        <f>'PENJUALAN (QTY)'!K10 * C10</f>
        <v>0</v>
      </c>
      <c r="M10" s="11">
        <f>'PENJUALAN (QTY)'!L10 * C10</f>
        <v>0</v>
      </c>
      <c r="N10" s="11">
        <f>'PENJUALAN (QTY)'!M10 * C10</f>
        <v>0</v>
      </c>
      <c r="O10" s="11">
        <f>'PENJUALAN (QTY)'!N10 * C10</f>
        <v>0</v>
      </c>
      <c r="P10" s="11">
        <f>'PENJUALAN (QTY)'!O10 * C10</f>
        <v>0</v>
      </c>
      <c r="Q10" s="11">
        <f>'PENJUALAN (QTY)'!P10 * C10</f>
        <v>0</v>
      </c>
      <c r="R10" s="11">
        <f>'PENJUALAN (QTY)'!Q10 * C10</f>
        <v>0</v>
      </c>
      <c r="S10" s="11">
        <f>'PENJUALAN (QTY)'!R10 * C10</f>
        <v>0</v>
      </c>
      <c r="T10" s="11">
        <f>'PENJUALAN (QTY)'!S10 * C10</f>
        <v>0</v>
      </c>
      <c r="U10" s="11">
        <f>'PENJUALAN (QTY)'!T10 * C10</f>
        <v>0</v>
      </c>
      <c r="V10" s="11">
        <f>'PENJUALAN (QTY)'!U10 * C10</f>
        <v>0</v>
      </c>
      <c r="W10" s="11">
        <f>'PENJUALAN (QTY)'!V10 * C10</f>
        <v>0</v>
      </c>
      <c r="X10" s="11">
        <f>'PENJUALAN (QTY)'!W10 * C10</f>
        <v>0</v>
      </c>
      <c r="Y10" s="11">
        <f>'PENJUALAN (QTY)'!X10 * C10</f>
        <v>0</v>
      </c>
      <c r="Z10" s="11">
        <f>'PENJUALAN (QTY)'!Y10 * C10</f>
        <v>0</v>
      </c>
      <c r="AA10" s="11">
        <f>'PENJUALAN (QTY)'!Z10 * C10</f>
        <v>0</v>
      </c>
      <c r="AB10" s="11">
        <f>'PENJUALAN (QTY)'!AA10 * C10</f>
        <v>0</v>
      </c>
      <c r="AC10" s="11">
        <f>'PENJUALAN (QTY)'!AB10 * C10</f>
        <v>0</v>
      </c>
      <c r="AD10" s="11">
        <f>'PENJUALAN (QTY)'!AC10 * C10</f>
        <v>0</v>
      </c>
      <c r="AE10" s="11">
        <f>'PENJUALAN (QTY)'!AD10 * C10</f>
        <v>0</v>
      </c>
      <c r="AF10" s="11">
        <f>'PENJUALAN (QTY)'!AE10 * C10</f>
        <v>0</v>
      </c>
      <c r="AG10" s="11">
        <f>'PENJUALAN (QTY)'!AF10 * C10</f>
        <v>0</v>
      </c>
      <c r="AH10" s="11">
        <f>'PENJUALAN (QTY)'!AG10 * C10</f>
        <v>0</v>
      </c>
      <c r="AI10" s="53">
        <f t="shared" si="0"/>
        <v>0</v>
      </c>
    </row>
    <row r="11" spans="1:35">
      <c r="A11" s="38" t="s">
        <v>186</v>
      </c>
      <c r="B11" s="13" t="str">
        <f>IFERROR(INDEX(tbl_Produk[NAMA PRODUK], MATCH(A11, tbl_Produk[KODE PRODUK], 0)), "")</f>
        <v>AYAM GEPREK S. MATAH + NASI</v>
      </c>
      <c r="C11" s="11">
        <f>IFERROR(INDEX(tbl_Produk[HARGA JUAL OFFLINE], MATCH(A11, tbl_Produk[KODE PRODUK], 0)), "")</f>
        <v>11000</v>
      </c>
      <c r="D11" s="11">
        <f>'PENJUALAN (QTY)'!C11 * C11</f>
        <v>0</v>
      </c>
      <c r="E11" s="11">
        <f>'PENJUALAN (QTY)'!D11 * C11</f>
        <v>0</v>
      </c>
      <c r="F11" s="11">
        <f>'PENJUALAN (QTY)'!E11 * C11</f>
        <v>0</v>
      </c>
      <c r="G11" s="11">
        <f>'PENJUALAN (QTY)'!F11 * C11</f>
        <v>0</v>
      </c>
      <c r="H11" s="11">
        <f>'PENJUALAN (QTY)'!G11 * C11</f>
        <v>0</v>
      </c>
      <c r="I11" s="11">
        <f>'PENJUALAN (QTY)'!H11 * C11</f>
        <v>0</v>
      </c>
      <c r="J11" s="11">
        <f>'PENJUALAN (QTY)'!I11 * C11</f>
        <v>0</v>
      </c>
      <c r="K11" s="11">
        <f>'PENJUALAN (QTY)'!J11 * C11</f>
        <v>0</v>
      </c>
      <c r="L11" s="11">
        <f>'PENJUALAN (QTY)'!K11 * C11</f>
        <v>0</v>
      </c>
      <c r="M11" s="11">
        <f>'PENJUALAN (QTY)'!L11 * C11</f>
        <v>0</v>
      </c>
      <c r="N11" s="11">
        <f>'PENJUALAN (QTY)'!M11 * C11</f>
        <v>0</v>
      </c>
      <c r="O11" s="11">
        <f>'PENJUALAN (QTY)'!N11 * C11</f>
        <v>0</v>
      </c>
      <c r="P11" s="11">
        <f>'PENJUALAN (QTY)'!O11 * C11</f>
        <v>0</v>
      </c>
      <c r="Q11" s="11">
        <f>'PENJUALAN (QTY)'!P11 * C11</f>
        <v>0</v>
      </c>
      <c r="R11" s="11">
        <f>'PENJUALAN (QTY)'!Q11 * C11</f>
        <v>0</v>
      </c>
      <c r="S11" s="11">
        <f>'PENJUALAN (QTY)'!R11 * C11</f>
        <v>0</v>
      </c>
      <c r="T11" s="11">
        <f>'PENJUALAN (QTY)'!S11 * C11</f>
        <v>0</v>
      </c>
      <c r="U11" s="11">
        <f>'PENJUALAN (QTY)'!T11 * C11</f>
        <v>0</v>
      </c>
      <c r="V11" s="11">
        <f>'PENJUALAN (QTY)'!U11 * C11</f>
        <v>0</v>
      </c>
      <c r="W11" s="11">
        <f>'PENJUALAN (QTY)'!V11 * C11</f>
        <v>0</v>
      </c>
      <c r="X11" s="11">
        <f>'PENJUALAN (QTY)'!W11 * C11</f>
        <v>0</v>
      </c>
      <c r="Y11" s="11">
        <f>'PENJUALAN (QTY)'!X11 * C11</f>
        <v>0</v>
      </c>
      <c r="Z11" s="11">
        <f>'PENJUALAN (QTY)'!Y11 * C11</f>
        <v>0</v>
      </c>
      <c r="AA11" s="11">
        <f>'PENJUALAN (QTY)'!Z11 * C11</f>
        <v>0</v>
      </c>
      <c r="AB11" s="11">
        <f>'PENJUALAN (QTY)'!AA11 * C11</f>
        <v>0</v>
      </c>
      <c r="AC11" s="11">
        <f>'PENJUALAN (QTY)'!AB11 * C11</f>
        <v>0</v>
      </c>
      <c r="AD11" s="11">
        <f>'PENJUALAN (QTY)'!AC11 * C11</f>
        <v>0</v>
      </c>
      <c r="AE11" s="11">
        <f>'PENJUALAN (QTY)'!AD11 * C11</f>
        <v>0</v>
      </c>
      <c r="AF11" s="11">
        <f>'PENJUALAN (QTY)'!AE11 * C11</f>
        <v>0</v>
      </c>
      <c r="AG11" s="11">
        <f>'PENJUALAN (QTY)'!AF11 * C11</f>
        <v>0</v>
      </c>
      <c r="AH11" s="11">
        <f>'PENJUALAN (QTY)'!AG11 * C11</f>
        <v>0</v>
      </c>
      <c r="AI11" s="53">
        <f t="shared" si="0"/>
        <v>0</v>
      </c>
    </row>
    <row r="12" spans="1:35">
      <c r="A12" s="38" t="s">
        <v>187</v>
      </c>
      <c r="B12" s="13" t="str">
        <f>IFERROR(INDEX(tbl_Produk[NAMA PRODUK], MATCH(A12, tbl_Produk[KODE PRODUK], 0)), "")</f>
        <v>AYAM SAUS BBQ</v>
      </c>
      <c r="C12" s="11">
        <f>IFERROR(INDEX(tbl_Produk[HARGA JUAL OFFLINE], MATCH(A12, tbl_Produk[KODE PRODUK], 0)), "")</f>
        <v>9000</v>
      </c>
      <c r="D12" s="11">
        <f>'PENJUALAN (QTY)'!C12 * C12</f>
        <v>0</v>
      </c>
      <c r="E12" s="11">
        <f>'PENJUALAN (QTY)'!D12 * C12</f>
        <v>0</v>
      </c>
      <c r="F12" s="11">
        <f>'PENJUALAN (QTY)'!E12 * C12</f>
        <v>0</v>
      </c>
      <c r="G12" s="11">
        <f>'PENJUALAN (QTY)'!F12 * C12</f>
        <v>0</v>
      </c>
      <c r="H12" s="11">
        <f>'PENJUALAN (QTY)'!G12 * C12</f>
        <v>0</v>
      </c>
      <c r="I12" s="11">
        <f>'PENJUALAN (QTY)'!H12 * C12</f>
        <v>0</v>
      </c>
      <c r="J12" s="11">
        <f>'PENJUALAN (QTY)'!I12 * C12</f>
        <v>9000</v>
      </c>
      <c r="K12" s="11">
        <f>'PENJUALAN (QTY)'!J12 * C12</f>
        <v>0</v>
      </c>
      <c r="L12" s="11">
        <f>'PENJUALAN (QTY)'!K12 * C12</f>
        <v>0</v>
      </c>
      <c r="M12" s="11">
        <f>'PENJUALAN (QTY)'!L12 * C12</f>
        <v>18000</v>
      </c>
      <c r="N12" s="11">
        <f>'PENJUALAN (QTY)'!M12 * C12</f>
        <v>0</v>
      </c>
      <c r="O12" s="11">
        <f>'PENJUALAN (QTY)'!N12 * C12</f>
        <v>18000</v>
      </c>
      <c r="P12" s="11">
        <f>'PENJUALAN (QTY)'!O12 * C12</f>
        <v>0</v>
      </c>
      <c r="Q12" s="11">
        <f>'PENJUALAN (QTY)'!P12 * C12</f>
        <v>0</v>
      </c>
      <c r="R12" s="11">
        <f>'PENJUALAN (QTY)'!Q12 * C12</f>
        <v>0</v>
      </c>
      <c r="S12" s="11">
        <f>'PENJUALAN (QTY)'!R12 * C12</f>
        <v>0</v>
      </c>
      <c r="T12" s="11">
        <f>'PENJUALAN (QTY)'!S12 * C12</f>
        <v>0</v>
      </c>
      <c r="U12" s="11">
        <f>'PENJUALAN (QTY)'!T12 * C12</f>
        <v>0</v>
      </c>
      <c r="V12" s="11">
        <f>'PENJUALAN (QTY)'!U12 * C12</f>
        <v>0</v>
      </c>
      <c r="W12" s="11">
        <f>'PENJUALAN (QTY)'!V12 * C12</f>
        <v>0</v>
      </c>
      <c r="X12" s="11">
        <f>'PENJUALAN (QTY)'!W12 * C12</f>
        <v>0</v>
      </c>
      <c r="Y12" s="11">
        <f>'PENJUALAN (QTY)'!X12 * C12</f>
        <v>0</v>
      </c>
      <c r="Z12" s="11">
        <f>'PENJUALAN (QTY)'!Y12 * C12</f>
        <v>0</v>
      </c>
      <c r="AA12" s="11">
        <f>'PENJUALAN (QTY)'!Z12 * C12</f>
        <v>0</v>
      </c>
      <c r="AB12" s="11">
        <f>'PENJUALAN (QTY)'!AA12 * C12</f>
        <v>0</v>
      </c>
      <c r="AC12" s="11">
        <f>'PENJUALAN (QTY)'!AB12 * C12</f>
        <v>0</v>
      </c>
      <c r="AD12" s="11">
        <f>'PENJUALAN (QTY)'!AC12 * C12</f>
        <v>0</v>
      </c>
      <c r="AE12" s="11">
        <f>'PENJUALAN (QTY)'!AD12 * C12</f>
        <v>0</v>
      </c>
      <c r="AF12" s="11">
        <f>'PENJUALAN (QTY)'!AE12 * C12</f>
        <v>0</v>
      </c>
      <c r="AG12" s="11">
        <f>'PENJUALAN (QTY)'!AF12 * C12</f>
        <v>0</v>
      </c>
      <c r="AH12" s="11">
        <f>'PENJUALAN (QTY)'!AG12 * C12</f>
        <v>0</v>
      </c>
      <c r="AI12" s="53">
        <f t="shared" si="0"/>
        <v>45000</v>
      </c>
    </row>
    <row r="13" spans="1:35">
      <c r="A13" s="38" t="s">
        <v>188</v>
      </c>
      <c r="B13" s="13" t="str">
        <f>IFERROR(INDEX(tbl_Produk[NAMA PRODUK], MATCH(A13, tbl_Produk[KODE PRODUK], 0)), "")</f>
        <v>AYAM SAUS BBQ + NASI</v>
      </c>
      <c r="C13" s="11">
        <f>IFERROR(INDEX(tbl_Produk[HARGA JUAL OFFLINE], MATCH(A13, tbl_Produk[KODE PRODUK], 0)), "")</f>
        <v>11000</v>
      </c>
      <c r="D13" s="11">
        <f>'PENJUALAN (QTY)'!C13 * C13</f>
        <v>0</v>
      </c>
      <c r="E13" s="11">
        <f>'PENJUALAN (QTY)'!D13 * C13</f>
        <v>0</v>
      </c>
      <c r="F13" s="11">
        <f>'PENJUALAN (QTY)'!E13 * C13</f>
        <v>11000</v>
      </c>
      <c r="G13" s="6">
        <f>'PENJUALAN (QTY)'!F13 * C13</f>
        <v>11000</v>
      </c>
      <c r="H13" s="11">
        <f>'PENJUALAN (QTY)'!G13 * C13</f>
        <v>0</v>
      </c>
      <c r="I13" s="11">
        <f>'PENJUALAN (QTY)'!H13 * C13</f>
        <v>0</v>
      </c>
      <c r="J13" s="11">
        <f>'PENJUALAN (QTY)'!I13 * C13</f>
        <v>0</v>
      </c>
      <c r="K13" s="11">
        <f>'PENJUALAN (QTY)'!J13 * C13</f>
        <v>11000</v>
      </c>
      <c r="L13" s="11">
        <f>'PENJUALAN (QTY)'!K13 * C13</f>
        <v>0</v>
      </c>
      <c r="M13" s="11">
        <f>'PENJUALAN (QTY)'!L13 * C13</f>
        <v>0</v>
      </c>
      <c r="N13" s="11">
        <f>'PENJUALAN (QTY)'!M13 * C13</f>
        <v>0</v>
      </c>
      <c r="O13" s="11">
        <f>'PENJUALAN (QTY)'!N13 * C13</f>
        <v>0</v>
      </c>
      <c r="P13" s="11">
        <f>'PENJUALAN (QTY)'!O13 * C13</f>
        <v>0</v>
      </c>
      <c r="Q13" s="11">
        <f>'PENJUALAN (QTY)'!P13 * C13</f>
        <v>0</v>
      </c>
      <c r="R13" s="11">
        <f>'PENJUALAN (QTY)'!Q13 * C13</f>
        <v>0</v>
      </c>
      <c r="S13" s="11">
        <f>'PENJUALAN (QTY)'!R13 * C13</f>
        <v>0</v>
      </c>
      <c r="T13" s="11">
        <f>'PENJUALAN (QTY)'!S13 * C13</f>
        <v>0</v>
      </c>
      <c r="U13" s="11">
        <f>'PENJUALAN (QTY)'!T13 * C13</f>
        <v>0</v>
      </c>
      <c r="V13" s="11">
        <f>'PENJUALAN (QTY)'!U13 * C13</f>
        <v>0</v>
      </c>
      <c r="W13" s="11">
        <f>'PENJUALAN (QTY)'!V13 * C13</f>
        <v>0</v>
      </c>
      <c r="X13" s="11">
        <f>'PENJUALAN (QTY)'!W13 * C13</f>
        <v>0</v>
      </c>
      <c r="Y13" s="11">
        <f>'PENJUALAN (QTY)'!X13 * C13</f>
        <v>0</v>
      </c>
      <c r="Z13" s="11">
        <f>'PENJUALAN (QTY)'!Y13 * C13</f>
        <v>0</v>
      </c>
      <c r="AA13" s="11">
        <f>'PENJUALAN (QTY)'!Z13 * C13</f>
        <v>0</v>
      </c>
      <c r="AB13" s="11">
        <f>'PENJUALAN (QTY)'!AA13 * C13</f>
        <v>0</v>
      </c>
      <c r="AC13" s="11">
        <f>'PENJUALAN (QTY)'!AB13 * C13</f>
        <v>0</v>
      </c>
      <c r="AD13" s="11">
        <f>'PENJUALAN (QTY)'!AC13 * C13</f>
        <v>0</v>
      </c>
      <c r="AE13" s="11">
        <f>'PENJUALAN (QTY)'!AD13 * C13</f>
        <v>0</v>
      </c>
      <c r="AF13" s="11">
        <f>'PENJUALAN (QTY)'!AE13 * C13</f>
        <v>0</v>
      </c>
      <c r="AG13" s="11">
        <f>'PENJUALAN (QTY)'!AF13 * C13</f>
        <v>0</v>
      </c>
      <c r="AH13" s="11">
        <f>'PENJUALAN (QTY)'!AG13 * C13</f>
        <v>0</v>
      </c>
      <c r="AI13" s="53">
        <f t="shared" si="0"/>
        <v>33000</v>
      </c>
    </row>
    <row r="14" spans="1:35">
      <c r="A14" s="38" t="s">
        <v>189</v>
      </c>
      <c r="B14" s="13" t="str">
        <f>IFERROR(INDEX(tbl_Produk[NAMA PRODUK], MATCH(A14, tbl_Produk[KODE PRODUK], 0)), "")</f>
        <v>AYAM SAUS BROCHEESE</v>
      </c>
      <c r="C14" s="11">
        <f>IFERROR(INDEX(tbl_Produk[HARGA JUAL OFFLINE], MATCH(A14, tbl_Produk[KODE PRODUK], 0)), "")</f>
        <v>9000</v>
      </c>
      <c r="D14" s="11">
        <f>'PENJUALAN (QTY)'!C14 * C14</f>
        <v>0</v>
      </c>
      <c r="E14" s="11">
        <f>'PENJUALAN (QTY)'!D14 * C14</f>
        <v>0</v>
      </c>
      <c r="F14" s="11">
        <f>'PENJUALAN (QTY)'!E14 * C14</f>
        <v>0</v>
      </c>
      <c r="G14" s="11">
        <f>'PENJUALAN (QTY)'!F14 * C14</f>
        <v>0</v>
      </c>
      <c r="H14" s="11">
        <f>'PENJUALAN (QTY)'!G14 * C14</f>
        <v>0</v>
      </c>
      <c r="I14" s="11">
        <f>'PENJUALAN (QTY)'!H14 * C14</f>
        <v>0</v>
      </c>
      <c r="J14" s="11">
        <f>'PENJUALAN (QTY)'!I14 * C14</f>
        <v>0</v>
      </c>
      <c r="K14" s="11">
        <f>'PENJUALAN (QTY)'!J14 * C14</f>
        <v>0</v>
      </c>
      <c r="L14" s="11">
        <f>'PENJUALAN (QTY)'!K14 * C14</f>
        <v>0</v>
      </c>
      <c r="M14" s="11">
        <f>'PENJUALAN (QTY)'!L14 * C14</f>
        <v>0</v>
      </c>
      <c r="N14" s="11">
        <f>'PENJUALAN (QTY)'!M14 * C14</f>
        <v>0</v>
      </c>
      <c r="O14" s="11">
        <f>'PENJUALAN (QTY)'!N14 * C14</f>
        <v>0</v>
      </c>
      <c r="P14" s="11">
        <f>'PENJUALAN (QTY)'!O14 * C14</f>
        <v>0</v>
      </c>
      <c r="Q14" s="11">
        <f>'PENJUALAN (QTY)'!P14 * C14</f>
        <v>0</v>
      </c>
      <c r="R14" s="11">
        <f>'PENJUALAN (QTY)'!Q14 * C14</f>
        <v>0</v>
      </c>
      <c r="S14" s="11">
        <f>'PENJUALAN (QTY)'!R14 * C14</f>
        <v>0</v>
      </c>
      <c r="T14" s="11">
        <f>'PENJUALAN (QTY)'!S14 * C14</f>
        <v>0</v>
      </c>
      <c r="U14" s="11">
        <f>'PENJUALAN (QTY)'!T14 * C14</f>
        <v>0</v>
      </c>
      <c r="V14" s="11">
        <f>'PENJUALAN (QTY)'!U14 * C14</f>
        <v>0</v>
      </c>
      <c r="W14" s="11">
        <f>'PENJUALAN (QTY)'!V14 * C14</f>
        <v>0</v>
      </c>
      <c r="X14" s="11">
        <f>'PENJUALAN (QTY)'!W14 * C14</f>
        <v>0</v>
      </c>
      <c r="Y14" s="11">
        <f>'PENJUALAN (QTY)'!X14 * C14</f>
        <v>0</v>
      </c>
      <c r="Z14" s="11">
        <f>'PENJUALAN (QTY)'!Y14 * C14</f>
        <v>0</v>
      </c>
      <c r="AA14" s="11">
        <f>'PENJUALAN (QTY)'!Z14 * C14</f>
        <v>0</v>
      </c>
      <c r="AB14" s="11">
        <f>'PENJUALAN (QTY)'!AA14 * C14</f>
        <v>0</v>
      </c>
      <c r="AC14" s="11">
        <f>'PENJUALAN (QTY)'!AB14 * C14</f>
        <v>0</v>
      </c>
      <c r="AD14" s="11">
        <f>'PENJUALAN (QTY)'!AC14 * C14</f>
        <v>0</v>
      </c>
      <c r="AE14" s="11">
        <f>'PENJUALAN (QTY)'!AD14 * C14</f>
        <v>0</v>
      </c>
      <c r="AF14" s="11">
        <f>'PENJUALAN (QTY)'!AE14 * C14</f>
        <v>0</v>
      </c>
      <c r="AG14" s="11">
        <f>'PENJUALAN (QTY)'!AF14 * C14</f>
        <v>0</v>
      </c>
      <c r="AH14" s="11">
        <f>'PENJUALAN (QTY)'!AG14 * C14</f>
        <v>0</v>
      </c>
      <c r="AI14" s="53">
        <f t="shared" si="0"/>
        <v>0</v>
      </c>
    </row>
    <row r="15" spans="1:35">
      <c r="A15" s="38" t="s">
        <v>190</v>
      </c>
      <c r="B15" s="13" t="str">
        <f>IFERROR(INDEX(tbl_Produk[NAMA PRODUK], MATCH(A15, tbl_Produk[KODE PRODUK], 0)), "")</f>
        <v>AYAM SAUS BROCHEESE + NASI</v>
      </c>
      <c r="C15" s="11">
        <f>IFERROR(INDEX(tbl_Produk[HARGA JUAL OFFLINE], MATCH(A15, tbl_Produk[KODE PRODUK], 0)), "")</f>
        <v>11000</v>
      </c>
      <c r="D15" s="11">
        <f>'PENJUALAN (QTY)'!C15 * C15</f>
        <v>0</v>
      </c>
      <c r="E15" s="11">
        <f>'PENJUALAN (QTY)'!D15 * C15</f>
        <v>11000</v>
      </c>
      <c r="F15" s="11">
        <f>'PENJUALAN (QTY)'!E15 * C15</f>
        <v>0</v>
      </c>
      <c r="G15" s="11">
        <f>'PENJUALAN (QTY)'!F15 * C15</f>
        <v>0</v>
      </c>
      <c r="H15" s="11">
        <f>'PENJUALAN (QTY)'!G15 * C15</f>
        <v>0</v>
      </c>
      <c r="I15" s="11">
        <f>'PENJUALAN (QTY)'!H15 * C15</f>
        <v>0</v>
      </c>
      <c r="J15" s="11">
        <f>'PENJUALAN (QTY)'!I15 * C15</f>
        <v>0</v>
      </c>
      <c r="K15" s="11">
        <f>'PENJUALAN (QTY)'!J15 * C15</f>
        <v>0</v>
      </c>
      <c r="L15" s="11">
        <f>'PENJUALAN (QTY)'!K15 * C15</f>
        <v>0</v>
      </c>
      <c r="M15" s="11">
        <f>'PENJUALAN (QTY)'!L15 * C15</f>
        <v>0</v>
      </c>
      <c r="N15" s="11">
        <f>'PENJUALAN (QTY)'!M15 * C15</f>
        <v>0</v>
      </c>
      <c r="O15" s="11">
        <f>'PENJUALAN (QTY)'!N15 * C15</f>
        <v>0</v>
      </c>
      <c r="P15" s="11">
        <f>'PENJUALAN (QTY)'!O15 * C15</f>
        <v>0</v>
      </c>
      <c r="Q15" s="11">
        <f>'PENJUALAN (QTY)'!P15 * C15</f>
        <v>0</v>
      </c>
      <c r="R15" s="11">
        <f>'PENJUALAN (QTY)'!Q15 * C15</f>
        <v>0</v>
      </c>
      <c r="S15" s="11">
        <f>'PENJUALAN (QTY)'!R15 * C15</f>
        <v>0</v>
      </c>
      <c r="T15" s="11">
        <f>'PENJUALAN (QTY)'!S15 * C15</f>
        <v>0</v>
      </c>
      <c r="U15" s="11">
        <f>'PENJUALAN (QTY)'!T15 * C15</f>
        <v>0</v>
      </c>
      <c r="V15" s="11">
        <f>'PENJUALAN (QTY)'!U15 * C15</f>
        <v>0</v>
      </c>
      <c r="W15" s="11">
        <f>'PENJUALAN (QTY)'!V15 * C15</f>
        <v>0</v>
      </c>
      <c r="X15" s="11">
        <f>'PENJUALAN (QTY)'!W15 * C15</f>
        <v>0</v>
      </c>
      <c r="Y15" s="11">
        <f>'PENJUALAN (QTY)'!X15 * C15</f>
        <v>0</v>
      </c>
      <c r="Z15" s="11">
        <f>'PENJUALAN (QTY)'!Y15 * C15</f>
        <v>0</v>
      </c>
      <c r="AA15" s="11">
        <f>'PENJUALAN (QTY)'!Z15 * C15</f>
        <v>0</v>
      </c>
      <c r="AB15" s="11">
        <f>'PENJUALAN (QTY)'!AA15 * C15</f>
        <v>0</v>
      </c>
      <c r="AC15" s="11">
        <f>'PENJUALAN (QTY)'!AB15 * C15</f>
        <v>0</v>
      </c>
      <c r="AD15" s="11">
        <f>'PENJUALAN (QTY)'!AC15 * C15</f>
        <v>0</v>
      </c>
      <c r="AE15" s="11">
        <f>'PENJUALAN (QTY)'!AD15 * C15</f>
        <v>0</v>
      </c>
      <c r="AF15" s="11">
        <f>'PENJUALAN (QTY)'!AE15 * C15</f>
        <v>0</v>
      </c>
      <c r="AG15" s="11">
        <f>'PENJUALAN (QTY)'!AF15 * C15</f>
        <v>0</v>
      </c>
      <c r="AH15" s="11">
        <f>'PENJUALAN (QTY)'!AG15 * C15</f>
        <v>0</v>
      </c>
      <c r="AI15" s="53">
        <f t="shared" si="0"/>
        <v>11000</v>
      </c>
    </row>
    <row r="16" spans="1:35">
      <c r="A16" s="38" t="s">
        <v>191</v>
      </c>
      <c r="B16" s="13" t="str">
        <f>IFERROR(INDEX(tbl_Produk[NAMA PRODUK], MATCH(A16, tbl_Produk[KODE PRODUK], 0)), "")</f>
        <v>AYAM SAUS CREAMY CHEESE</v>
      </c>
      <c r="C16" s="11">
        <f>IFERROR(INDEX(tbl_Produk[HARGA JUAL OFFLINE], MATCH(A16, tbl_Produk[KODE PRODUK], 0)), "")</f>
        <v>9000</v>
      </c>
      <c r="D16" s="11">
        <f>'PENJUALAN (QTY)'!C16 * C16</f>
        <v>0</v>
      </c>
      <c r="E16" s="11">
        <f>'PENJUALAN (QTY)'!D16 * C16</f>
        <v>0</v>
      </c>
      <c r="F16" s="11">
        <f>'PENJUALAN (QTY)'!E16 * C16</f>
        <v>0</v>
      </c>
      <c r="G16" s="11">
        <f>'PENJUALAN (QTY)'!F16 * C16</f>
        <v>0</v>
      </c>
      <c r="H16" s="11">
        <f>'PENJUALAN (QTY)'!G16 * C16</f>
        <v>0</v>
      </c>
      <c r="I16" s="11">
        <f>'PENJUALAN (QTY)'!H16 * C16</f>
        <v>0</v>
      </c>
      <c r="J16" s="11">
        <f>'PENJUALAN (QTY)'!I16 * C16</f>
        <v>0</v>
      </c>
      <c r="K16" s="11">
        <f>'PENJUALAN (QTY)'!J16 * C16</f>
        <v>0</v>
      </c>
      <c r="L16" s="11">
        <f>'PENJUALAN (QTY)'!K16 * C16</f>
        <v>0</v>
      </c>
      <c r="M16" s="11">
        <f>'PENJUALAN (QTY)'!L16 * C16</f>
        <v>0</v>
      </c>
      <c r="N16" s="11">
        <f>'PENJUALAN (QTY)'!M16 * C16</f>
        <v>0</v>
      </c>
      <c r="O16" s="11">
        <f>'PENJUALAN (QTY)'!N16 * C16</f>
        <v>0</v>
      </c>
      <c r="P16" s="11">
        <f>'PENJUALAN (QTY)'!O16 * C16</f>
        <v>0</v>
      </c>
      <c r="Q16" s="11">
        <f>'PENJUALAN (QTY)'!P16 * C16</f>
        <v>0</v>
      </c>
      <c r="R16" s="11">
        <f>'PENJUALAN (QTY)'!Q16 * C16</f>
        <v>0</v>
      </c>
      <c r="S16" s="11">
        <f>'PENJUALAN (QTY)'!R16 * C16</f>
        <v>0</v>
      </c>
      <c r="T16" s="11">
        <f>'PENJUALAN (QTY)'!S16 * C16</f>
        <v>0</v>
      </c>
      <c r="U16" s="11">
        <f>'PENJUALAN (QTY)'!T16 * C16</f>
        <v>0</v>
      </c>
      <c r="V16" s="11">
        <f>'PENJUALAN (QTY)'!U16 * C16</f>
        <v>0</v>
      </c>
      <c r="W16" s="11">
        <f>'PENJUALAN (QTY)'!V16 * C16</f>
        <v>0</v>
      </c>
      <c r="X16" s="11">
        <f>'PENJUALAN (QTY)'!W16 * C16</f>
        <v>0</v>
      </c>
      <c r="Y16" s="11">
        <f>'PENJUALAN (QTY)'!X16 * C16</f>
        <v>0</v>
      </c>
      <c r="Z16" s="11">
        <f>'PENJUALAN (QTY)'!Y16 * C16</f>
        <v>0</v>
      </c>
      <c r="AA16" s="11">
        <f>'PENJUALAN (QTY)'!Z16 * C16</f>
        <v>0</v>
      </c>
      <c r="AB16" s="11">
        <f>'PENJUALAN (QTY)'!AA16 * C16</f>
        <v>0</v>
      </c>
      <c r="AC16" s="11">
        <f>'PENJUALAN (QTY)'!AB16 * C16</f>
        <v>0</v>
      </c>
      <c r="AD16" s="11">
        <f>'PENJUALAN (QTY)'!AC16 * C16</f>
        <v>0</v>
      </c>
      <c r="AE16" s="11">
        <f>'PENJUALAN (QTY)'!AD16 * C16</f>
        <v>0</v>
      </c>
      <c r="AF16" s="11">
        <f>'PENJUALAN (QTY)'!AE16 * C16</f>
        <v>0</v>
      </c>
      <c r="AG16" s="11">
        <f>'PENJUALAN (QTY)'!AF16 * C16</f>
        <v>0</v>
      </c>
      <c r="AH16" s="11">
        <f>'PENJUALAN (QTY)'!AG16 * C16</f>
        <v>0</v>
      </c>
      <c r="AI16" s="53">
        <f t="shared" si="0"/>
        <v>0</v>
      </c>
    </row>
    <row r="17" spans="1:35">
      <c r="A17" s="38" t="s">
        <v>192</v>
      </c>
      <c r="B17" s="13" t="str">
        <f>IFERROR(INDEX(tbl_Produk[NAMA PRODUK], MATCH(A17, tbl_Produk[KODE PRODUK], 0)), "")</f>
        <v>AYAM SAUS CREAMY CHEESE + NASI</v>
      </c>
      <c r="C17" s="11">
        <f>IFERROR(INDEX(tbl_Produk[HARGA JUAL OFFLINE], MATCH(A17, tbl_Produk[KODE PRODUK], 0)), "")</f>
        <v>11000</v>
      </c>
      <c r="D17" s="11">
        <f>'PENJUALAN (QTY)'!C17 * C17</f>
        <v>0</v>
      </c>
      <c r="E17" s="11">
        <f>'PENJUALAN (QTY)'!D17 * C17</f>
        <v>0</v>
      </c>
      <c r="F17" s="11">
        <f>'PENJUALAN (QTY)'!E17 * C17</f>
        <v>0</v>
      </c>
      <c r="G17" s="11">
        <f>'PENJUALAN (QTY)'!F17 * C17</f>
        <v>0</v>
      </c>
      <c r="H17" s="11">
        <f>'PENJUALAN (QTY)'!G17 * C17</f>
        <v>0</v>
      </c>
      <c r="I17" s="11">
        <f>'PENJUALAN (QTY)'!H17 * C17</f>
        <v>0</v>
      </c>
      <c r="J17" s="11">
        <f>'PENJUALAN (QTY)'!I17 * C17</f>
        <v>0</v>
      </c>
      <c r="K17" s="11">
        <f>'PENJUALAN (QTY)'!J17 * C17</f>
        <v>0</v>
      </c>
      <c r="L17" s="11">
        <f>'PENJUALAN (QTY)'!K17 * C17</f>
        <v>0</v>
      </c>
      <c r="M17" s="11">
        <f>'PENJUALAN (QTY)'!L17 * C17</f>
        <v>0</v>
      </c>
      <c r="N17" s="11">
        <f>'PENJUALAN (QTY)'!M17 * C17</f>
        <v>0</v>
      </c>
      <c r="O17" s="11">
        <f>'PENJUALAN (QTY)'!N17 * C17</f>
        <v>0</v>
      </c>
      <c r="P17" s="11">
        <f>'PENJUALAN (QTY)'!O17 * C17</f>
        <v>0</v>
      </c>
      <c r="Q17" s="11">
        <f>'PENJUALAN (QTY)'!P17 * C17</f>
        <v>0</v>
      </c>
      <c r="R17" s="11">
        <f>'PENJUALAN (QTY)'!Q17 * C17</f>
        <v>0</v>
      </c>
      <c r="S17" s="11">
        <f>'PENJUALAN (QTY)'!R17 * C17</f>
        <v>0</v>
      </c>
      <c r="T17" s="11">
        <f>'PENJUALAN (QTY)'!S17 * C17</f>
        <v>0</v>
      </c>
      <c r="U17" s="11">
        <f>'PENJUALAN (QTY)'!T17 * C17</f>
        <v>0</v>
      </c>
      <c r="V17" s="11">
        <f>'PENJUALAN (QTY)'!U17 * C17</f>
        <v>0</v>
      </c>
      <c r="W17" s="11">
        <f>'PENJUALAN (QTY)'!V17 * C17</f>
        <v>0</v>
      </c>
      <c r="X17" s="11">
        <f>'PENJUALAN (QTY)'!W17 * C17</f>
        <v>0</v>
      </c>
      <c r="Y17" s="11">
        <f>'PENJUALAN (QTY)'!X17 * C17</f>
        <v>0</v>
      </c>
      <c r="Z17" s="11">
        <f>'PENJUALAN (QTY)'!Y17 * C17</f>
        <v>0</v>
      </c>
      <c r="AA17" s="11">
        <f>'PENJUALAN (QTY)'!Z17 * C17</f>
        <v>0</v>
      </c>
      <c r="AB17" s="11">
        <f>'PENJUALAN (QTY)'!AA17 * C17</f>
        <v>0</v>
      </c>
      <c r="AC17" s="11">
        <f>'PENJUALAN (QTY)'!AB17 * C17</f>
        <v>0</v>
      </c>
      <c r="AD17" s="11">
        <f>'PENJUALAN (QTY)'!AC17 * C17</f>
        <v>0</v>
      </c>
      <c r="AE17" s="11">
        <f>'PENJUALAN (QTY)'!AD17 * C17</f>
        <v>0</v>
      </c>
      <c r="AF17" s="11">
        <f>'PENJUALAN (QTY)'!AE17 * C17</f>
        <v>0</v>
      </c>
      <c r="AG17" s="11">
        <f>'PENJUALAN (QTY)'!AF17 * C17</f>
        <v>0</v>
      </c>
      <c r="AH17" s="11">
        <f>'PENJUALAN (QTY)'!AG17 * C17</f>
        <v>0</v>
      </c>
      <c r="AI17" s="53">
        <f t="shared" si="0"/>
        <v>0</v>
      </c>
    </row>
    <row r="18" spans="1:35">
      <c r="A18" s="38" t="s">
        <v>193</v>
      </c>
      <c r="B18" s="13" t="str">
        <f>IFERROR(INDEX(tbl_Produk[NAMA PRODUK], MATCH(A18, tbl_Produk[KODE PRODUK], 0)), "")</f>
        <v>ES LEMON TEA</v>
      </c>
      <c r="C18" s="11">
        <f>IFERROR(INDEX(tbl_Produk[HARGA JUAL OFFLINE], MATCH(A18, tbl_Produk[KODE PRODUK], 0)), "")</f>
        <v>5000</v>
      </c>
      <c r="D18" s="11">
        <f>'PENJUALAN (QTY)'!C18 * C18</f>
        <v>0</v>
      </c>
      <c r="E18" s="11">
        <f>'PENJUALAN (QTY)'!D18 * C18</f>
        <v>0</v>
      </c>
      <c r="F18" s="11">
        <f>'PENJUALAN (QTY)'!E18 * C18</f>
        <v>0</v>
      </c>
      <c r="G18" s="11">
        <f>'PENJUALAN (QTY)'!F18 * C18</f>
        <v>0</v>
      </c>
      <c r="H18" s="11">
        <f>'PENJUALAN (QTY)'!G18 * C18</f>
        <v>0</v>
      </c>
      <c r="I18" s="11">
        <f>'PENJUALAN (QTY)'!H18 * C18</f>
        <v>0</v>
      </c>
      <c r="J18" s="11">
        <f>'PENJUALAN (QTY)'!I18 * C18</f>
        <v>0</v>
      </c>
      <c r="K18" s="11">
        <f>'PENJUALAN (QTY)'!J18 * C18</f>
        <v>0</v>
      </c>
      <c r="L18" s="11">
        <f>'PENJUALAN (QTY)'!K18 * C18</f>
        <v>0</v>
      </c>
      <c r="M18" s="11">
        <f>'PENJUALAN (QTY)'!L18 * C18</f>
        <v>0</v>
      </c>
      <c r="N18" s="11">
        <f>'PENJUALAN (QTY)'!M18 * C18</f>
        <v>0</v>
      </c>
      <c r="O18" s="11">
        <f>'PENJUALAN (QTY)'!N18 * C18</f>
        <v>0</v>
      </c>
      <c r="P18" s="11">
        <f>'PENJUALAN (QTY)'!O18 * C18</f>
        <v>0</v>
      </c>
      <c r="Q18" s="11">
        <f>'PENJUALAN (QTY)'!P18 * C18</f>
        <v>0</v>
      </c>
      <c r="R18" s="11">
        <f>'PENJUALAN (QTY)'!Q18 * C18</f>
        <v>0</v>
      </c>
      <c r="S18" s="11">
        <f>'PENJUALAN (QTY)'!R18 * C18</f>
        <v>0</v>
      </c>
      <c r="T18" s="11">
        <f>'PENJUALAN (QTY)'!S18 * C18</f>
        <v>0</v>
      </c>
      <c r="U18" s="11">
        <f>'PENJUALAN (QTY)'!T18 * C18</f>
        <v>0</v>
      </c>
      <c r="V18" s="11">
        <f>'PENJUALAN (QTY)'!U18 * C18</f>
        <v>0</v>
      </c>
      <c r="W18" s="11">
        <f>'PENJUALAN (QTY)'!V18 * C18</f>
        <v>0</v>
      </c>
      <c r="X18" s="11">
        <f>'PENJUALAN (QTY)'!W18 * C18</f>
        <v>0</v>
      </c>
      <c r="Y18" s="11">
        <f>'PENJUALAN (QTY)'!X18 * C18</f>
        <v>0</v>
      </c>
      <c r="Z18" s="11">
        <f>'PENJUALAN (QTY)'!Y18 * C18</f>
        <v>0</v>
      </c>
      <c r="AA18" s="11">
        <f>'PENJUALAN (QTY)'!Z18 * C18</f>
        <v>0</v>
      </c>
      <c r="AB18" s="11">
        <f>'PENJUALAN (QTY)'!AA18 * C18</f>
        <v>0</v>
      </c>
      <c r="AC18" s="11">
        <f>'PENJUALAN (QTY)'!AB18 * C18</f>
        <v>0</v>
      </c>
      <c r="AD18" s="11">
        <f>'PENJUALAN (QTY)'!AC18 * C18</f>
        <v>0</v>
      </c>
      <c r="AE18" s="11">
        <f>'PENJUALAN (QTY)'!AD18 * C18</f>
        <v>0</v>
      </c>
      <c r="AF18" s="11">
        <f>'PENJUALAN (QTY)'!AE18 * C18</f>
        <v>0</v>
      </c>
      <c r="AG18" s="11">
        <f>'PENJUALAN (QTY)'!AF18 * C18</f>
        <v>0</v>
      </c>
      <c r="AH18" s="11">
        <f>'PENJUALAN (QTY)'!AG18 * C18</f>
        <v>0</v>
      </c>
      <c r="AI18" s="70">
        <f t="shared" si="0"/>
        <v>0</v>
      </c>
    </row>
    <row r="19" spans="1:35">
      <c r="A19" s="38" t="s">
        <v>194</v>
      </c>
      <c r="B19" s="13" t="str">
        <f>IFERROR(INDEX(tbl_Produk[NAMA PRODUK], MATCH(A19, tbl_Produk[KODE PRODUK], 0)), "")</f>
        <v>ES MILO</v>
      </c>
      <c r="C19" s="11">
        <f>IFERROR(INDEX(tbl_Produk[HARGA JUAL OFFLINE], MATCH(A19, tbl_Produk[KODE PRODUK], 0)), "")</f>
        <v>6000</v>
      </c>
      <c r="D19" s="11">
        <f>'PENJUALAN (QTY)'!C19 * C19</f>
        <v>0</v>
      </c>
      <c r="E19" s="11">
        <f>'PENJUALAN (QTY)'!D19 * C19</f>
        <v>0</v>
      </c>
      <c r="F19" s="11">
        <f>'PENJUALAN (QTY)'!E19 * C19</f>
        <v>0</v>
      </c>
      <c r="G19" s="11">
        <f>'PENJUALAN (QTY)'!F19 * C19</f>
        <v>0</v>
      </c>
      <c r="H19" s="11">
        <f>'PENJUALAN (QTY)'!G19 * C19</f>
        <v>0</v>
      </c>
      <c r="I19" s="11">
        <f>'PENJUALAN (QTY)'!H19 * C19</f>
        <v>0</v>
      </c>
      <c r="J19" s="11">
        <f>'PENJUALAN (QTY)'!I19 * C19</f>
        <v>0</v>
      </c>
      <c r="K19" s="11">
        <f>'PENJUALAN (QTY)'!J19 * C19</f>
        <v>0</v>
      </c>
      <c r="L19" s="11">
        <f>'PENJUALAN (QTY)'!K19 * C19</f>
        <v>0</v>
      </c>
      <c r="M19" s="11">
        <f>'PENJUALAN (QTY)'!L19 * C19</f>
        <v>0</v>
      </c>
      <c r="N19" s="11">
        <f>'PENJUALAN (QTY)'!M19 * C19</f>
        <v>0</v>
      </c>
      <c r="O19" s="11">
        <f>'PENJUALAN (QTY)'!N19 * C19</f>
        <v>0</v>
      </c>
      <c r="P19" s="11">
        <f>'PENJUALAN (QTY)'!O19 * C19</f>
        <v>0</v>
      </c>
      <c r="Q19" s="11">
        <f>'PENJUALAN (QTY)'!P19 * C19</f>
        <v>0</v>
      </c>
      <c r="R19" s="11">
        <f>'PENJUALAN (QTY)'!Q19 * C19</f>
        <v>0</v>
      </c>
      <c r="S19" s="11">
        <f>'PENJUALAN (QTY)'!R19 * C19</f>
        <v>0</v>
      </c>
      <c r="T19" s="11">
        <f>'PENJUALAN (QTY)'!S19 * C19</f>
        <v>0</v>
      </c>
      <c r="U19" s="11">
        <f>'PENJUALAN (QTY)'!T19 * C19</f>
        <v>0</v>
      </c>
      <c r="V19" s="11">
        <f>'PENJUALAN (QTY)'!U19 * C19</f>
        <v>0</v>
      </c>
      <c r="W19" s="11">
        <f>'PENJUALAN (QTY)'!V19 * C19</f>
        <v>0</v>
      </c>
      <c r="X19" s="11">
        <f>'PENJUALAN (QTY)'!W19 * C19</f>
        <v>0</v>
      </c>
      <c r="Y19" s="11">
        <f>'PENJUALAN (QTY)'!X19 * C19</f>
        <v>0</v>
      </c>
      <c r="Z19" s="11">
        <f>'PENJUALAN (QTY)'!Y19 * C19</f>
        <v>0</v>
      </c>
      <c r="AA19" s="11">
        <f>'PENJUALAN (QTY)'!Z19 * C19</f>
        <v>0</v>
      </c>
      <c r="AB19" s="11">
        <f>'PENJUALAN (QTY)'!AA19 * C19</f>
        <v>0</v>
      </c>
      <c r="AC19" s="11">
        <f>'PENJUALAN (QTY)'!AB19 * C19</f>
        <v>0</v>
      </c>
      <c r="AD19" s="11">
        <f>'PENJUALAN (QTY)'!AC19 * C19</f>
        <v>0</v>
      </c>
      <c r="AE19" s="11">
        <f>'PENJUALAN (QTY)'!AD19 * C19</f>
        <v>0</v>
      </c>
      <c r="AF19" s="11">
        <f>'PENJUALAN (QTY)'!AE19 * C19</f>
        <v>0</v>
      </c>
      <c r="AG19" s="11">
        <f>'PENJUALAN (QTY)'!AF19 * C19</f>
        <v>0</v>
      </c>
      <c r="AH19" s="11">
        <f>'PENJUALAN (QTY)'!AG19 * C19</f>
        <v>0</v>
      </c>
      <c r="AI19" s="70">
        <f t="shared" si="0"/>
        <v>0</v>
      </c>
    </row>
    <row r="20" spans="1:35">
      <c r="A20" s="38" t="s">
        <v>195</v>
      </c>
      <c r="B20" s="13" t="str">
        <f>IFERROR(INDEX(tbl_Produk[NAMA PRODUK], MATCH(A20, tbl_Produk[KODE PRODUK], 0)), "")</f>
        <v>ES TEA</v>
      </c>
      <c r="C20" s="11">
        <f>IFERROR(INDEX(tbl_Produk[HARGA JUAL OFFLINE], MATCH(A20, tbl_Produk[KODE PRODUK], 0)), "")</f>
        <v>4000</v>
      </c>
      <c r="D20" s="11">
        <f>'PENJUALAN (QTY)'!C20 * C20</f>
        <v>0</v>
      </c>
      <c r="E20" s="11">
        <f>'PENJUALAN (QTY)'!D20 * C20</f>
        <v>0</v>
      </c>
      <c r="F20" s="11">
        <f>'PENJUALAN (QTY)'!E20 * C20</f>
        <v>0</v>
      </c>
      <c r="G20" s="11">
        <f>'PENJUALAN (QTY)'!F20 * C20</f>
        <v>0</v>
      </c>
      <c r="H20" s="11">
        <f>'PENJUALAN (QTY)'!G20 * C20</f>
        <v>0</v>
      </c>
      <c r="I20" s="11">
        <f>'PENJUALAN (QTY)'!H20 * C20</f>
        <v>0</v>
      </c>
      <c r="J20" s="11">
        <f>'PENJUALAN (QTY)'!I20 * C20</f>
        <v>0</v>
      </c>
      <c r="K20" s="11">
        <f>'PENJUALAN (QTY)'!J20 * C20</f>
        <v>0</v>
      </c>
      <c r="L20" s="11">
        <f>'PENJUALAN (QTY)'!K20 * C20</f>
        <v>0</v>
      </c>
      <c r="M20" s="11">
        <f>'PENJUALAN (QTY)'!L20 * C20</f>
        <v>0</v>
      </c>
      <c r="N20" s="11">
        <f>'PENJUALAN (QTY)'!M20 * C20</f>
        <v>0</v>
      </c>
      <c r="O20" s="11">
        <f>'PENJUALAN (QTY)'!N20 * C20</f>
        <v>0</v>
      </c>
      <c r="P20" s="11">
        <f>'PENJUALAN (QTY)'!O20 * C20</f>
        <v>0</v>
      </c>
      <c r="Q20" s="11">
        <f>'PENJUALAN (QTY)'!P20 * C20</f>
        <v>0</v>
      </c>
      <c r="R20" s="11">
        <f>'PENJUALAN (QTY)'!Q20 * C20</f>
        <v>0</v>
      </c>
      <c r="S20" s="11">
        <f>'PENJUALAN (QTY)'!R20 * C20</f>
        <v>0</v>
      </c>
      <c r="T20" s="11">
        <f>'PENJUALAN (QTY)'!S20 * C20</f>
        <v>0</v>
      </c>
      <c r="U20" s="11">
        <f>'PENJUALAN (QTY)'!T20 * C20</f>
        <v>0</v>
      </c>
      <c r="V20" s="11">
        <f>'PENJUALAN (QTY)'!U20 * C20</f>
        <v>0</v>
      </c>
      <c r="W20" s="11">
        <f>'PENJUALAN (QTY)'!V20 * C20</f>
        <v>0</v>
      </c>
      <c r="X20" s="11">
        <f>'PENJUALAN (QTY)'!W20 * C20</f>
        <v>0</v>
      </c>
      <c r="Y20" s="11">
        <f>'PENJUALAN (QTY)'!X20 * C20</f>
        <v>0</v>
      </c>
      <c r="Z20" s="11">
        <f>'PENJUALAN (QTY)'!Y20 * C20</f>
        <v>0</v>
      </c>
      <c r="AA20" s="11">
        <f>'PENJUALAN (QTY)'!Z20 * C20</f>
        <v>0</v>
      </c>
      <c r="AB20" s="11">
        <f>'PENJUALAN (QTY)'!AA20 * C20</f>
        <v>0</v>
      </c>
      <c r="AC20" s="11">
        <f>'PENJUALAN (QTY)'!AB20 * C20</f>
        <v>0</v>
      </c>
      <c r="AD20" s="11">
        <f>'PENJUALAN (QTY)'!AC20 * C20</f>
        <v>0</v>
      </c>
      <c r="AE20" s="11">
        <f>'PENJUALAN (QTY)'!AD20 * C20</f>
        <v>0</v>
      </c>
      <c r="AF20" s="11">
        <f>'PENJUALAN (QTY)'!AE20 * C20</f>
        <v>0</v>
      </c>
      <c r="AG20" s="11">
        <f>'PENJUALAN (QTY)'!AF20 * C20</f>
        <v>0</v>
      </c>
      <c r="AH20" s="11">
        <f>'PENJUALAN (QTY)'!AG20 * C20</f>
        <v>0</v>
      </c>
      <c r="AI20" s="70">
        <f t="shared" si="0"/>
        <v>0</v>
      </c>
    </row>
    <row r="21" spans="1:35">
      <c r="A21" s="38" t="s">
        <v>196</v>
      </c>
      <c r="B21" s="13" t="str">
        <f>IFERROR(INDEX(tbl_Produk[NAMA PRODUK], MATCH(A21, tbl_Produk[KODE PRODUK], 0)), "")</f>
        <v>FRENCH FRIES</v>
      </c>
      <c r="C21" s="11">
        <f>IFERROR(INDEX(tbl_Produk[HARGA JUAL OFFLINE], MATCH(A21, tbl_Produk[KODE PRODUK], 0)), "")</f>
        <v>8000</v>
      </c>
      <c r="D21" s="11">
        <f>'PENJUALAN (QTY)'!C21 * C21</f>
        <v>0</v>
      </c>
      <c r="E21" s="11">
        <f>'PENJUALAN (QTY)'!D21 * C21</f>
        <v>0</v>
      </c>
      <c r="F21" s="11">
        <f>'PENJUALAN (QTY)'!E21 * C21</f>
        <v>0</v>
      </c>
      <c r="G21" s="11">
        <f>'PENJUALAN (QTY)'!F21 * C21</f>
        <v>0</v>
      </c>
      <c r="H21" s="11">
        <f>'PENJUALAN (QTY)'!G21 * C21</f>
        <v>0</v>
      </c>
      <c r="I21" s="11">
        <f>'PENJUALAN (QTY)'!H21 * C21</f>
        <v>0</v>
      </c>
      <c r="J21" s="11">
        <f>'PENJUALAN (QTY)'!I21 * C21</f>
        <v>0</v>
      </c>
      <c r="K21" s="11">
        <f>'PENJUALAN (QTY)'!J21 * C21</f>
        <v>0</v>
      </c>
      <c r="L21" s="11">
        <f>'PENJUALAN (QTY)'!K21 * C21</f>
        <v>0</v>
      </c>
      <c r="M21" s="11">
        <f>'PENJUALAN (QTY)'!L21 * C21</f>
        <v>0</v>
      </c>
      <c r="N21" s="11">
        <f>'PENJUALAN (QTY)'!M21 * C21</f>
        <v>0</v>
      </c>
      <c r="O21" s="11">
        <f>'PENJUALAN (QTY)'!N21 * C21</f>
        <v>0</v>
      </c>
      <c r="P21" s="11">
        <f>'PENJUALAN (QTY)'!O21 * C21</f>
        <v>0</v>
      </c>
      <c r="Q21" s="11">
        <f>'PENJUALAN (QTY)'!P21 * C21</f>
        <v>0</v>
      </c>
      <c r="R21" s="11">
        <f>'PENJUALAN (QTY)'!Q21 * C21</f>
        <v>0</v>
      </c>
      <c r="S21" s="11">
        <f>'PENJUALAN (QTY)'!R21 * C21</f>
        <v>0</v>
      </c>
      <c r="T21" s="11">
        <f>'PENJUALAN (QTY)'!S21 * C21</f>
        <v>0</v>
      </c>
      <c r="U21" s="11">
        <f>'PENJUALAN (QTY)'!T21 * C21</f>
        <v>0</v>
      </c>
      <c r="V21" s="11">
        <f>'PENJUALAN (QTY)'!U21 * C21</f>
        <v>0</v>
      </c>
      <c r="W21" s="11">
        <f>'PENJUALAN (QTY)'!V21 * C21</f>
        <v>0</v>
      </c>
      <c r="X21" s="11">
        <f>'PENJUALAN (QTY)'!W21 * C21</f>
        <v>0</v>
      </c>
      <c r="Y21" s="11">
        <f>'PENJUALAN (QTY)'!X21 * C21</f>
        <v>0</v>
      </c>
      <c r="Z21" s="11">
        <f>'PENJUALAN (QTY)'!Y21 * C21</f>
        <v>0</v>
      </c>
      <c r="AA21" s="11">
        <f>'PENJUALAN (QTY)'!Z21 * C21</f>
        <v>0</v>
      </c>
      <c r="AB21" s="11">
        <f>'PENJUALAN (QTY)'!AA21 * C21</f>
        <v>0</v>
      </c>
      <c r="AC21" s="11">
        <f>'PENJUALAN (QTY)'!AB21 * C21</f>
        <v>0</v>
      </c>
      <c r="AD21" s="11">
        <f>'PENJUALAN (QTY)'!AC21 * C21</f>
        <v>0</v>
      </c>
      <c r="AE21" s="11">
        <f>'PENJUALAN (QTY)'!AD21 * C21</f>
        <v>0</v>
      </c>
      <c r="AF21" s="11">
        <f>'PENJUALAN (QTY)'!AE21 * C21</f>
        <v>0</v>
      </c>
      <c r="AG21" s="11">
        <f>'PENJUALAN (QTY)'!AF21 * C21</f>
        <v>0</v>
      </c>
      <c r="AH21" s="11">
        <f>'PENJUALAN (QTY)'!AG21 * C21</f>
        <v>0</v>
      </c>
      <c r="AI21" s="70">
        <f t="shared" si="0"/>
        <v>0</v>
      </c>
    </row>
    <row r="22" spans="1:35">
      <c r="A22" s="38" t="s">
        <v>197</v>
      </c>
      <c r="B22" s="13" t="str">
        <f>IFERROR(INDEX(tbl_Produk[NAMA PRODUK], MATCH(A22, tbl_Produk[KODE PRODUK], 0)), "")</f>
        <v>JAMUR CRISPY</v>
      </c>
      <c r="C22" s="11">
        <f>IFERROR(INDEX(tbl_Produk[HARGA JUAL OFFLINE], MATCH(A22, tbl_Produk[KODE PRODUK], 0)), "")</f>
        <v>6000</v>
      </c>
      <c r="D22" s="11">
        <f>'PENJUALAN (QTY)'!C22 * C22</f>
        <v>0</v>
      </c>
      <c r="E22" s="11">
        <f>'PENJUALAN (QTY)'!D22 * C22</f>
        <v>0</v>
      </c>
      <c r="F22" s="11">
        <f>'PENJUALAN (QTY)'!E22 * C22</f>
        <v>0</v>
      </c>
      <c r="G22" s="11">
        <f>'PENJUALAN (QTY)'!F22 * C22</f>
        <v>0</v>
      </c>
      <c r="H22" s="11">
        <f>'PENJUALAN (QTY)'!G22 * C22</f>
        <v>0</v>
      </c>
      <c r="I22" s="11">
        <f>'PENJUALAN (QTY)'!H22 * C22</f>
        <v>0</v>
      </c>
      <c r="J22" s="11">
        <f>'PENJUALAN (QTY)'!I22 * C22</f>
        <v>0</v>
      </c>
      <c r="K22" s="11">
        <f>'PENJUALAN (QTY)'!J22 * C22</f>
        <v>0</v>
      </c>
      <c r="L22" s="11">
        <f>'PENJUALAN (QTY)'!K22 * C22</f>
        <v>0</v>
      </c>
      <c r="M22" s="11">
        <f>'PENJUALAN (QTY)'!L22 * C22</f>
        <v>0</v>
      </c>
      <c r="N22" s="11">
        <f>'PENJUALAN (QTY)'!M22 * C22</f>
        <v>0</v>
      </c>
      <c r="O22" s="11">
        <f>'PENJUALAN (QTY)'!N22 * C22</f>
        <v>0</v>
      </c>
      <c r="P22" s="11">
        <f>'PENJUALAN (QTY)'!O22 * C22</f>
        <v>0</v>
      </c>
      <c r="Q22" s="11">
        <f>'PENJUALAN (QTY)'!P22 * C22</f>
        <v>0</v>
      </c>
      <c r="R22" s="11">
        <f>'PENJUALAN (QTY)'!Q22 * C22</f>
        <v>0</v>
      </c>
      <c r="S22" s="11">
        <f>'PENJUALAN (QTY)'!R22 * C22</f>
        <v>0</v>
      </c>
      <c r="T22" s="11">
        <f>'PENJUALAN (QTY)'!S22 * C22</f>
        <v>0</v>
      </c>
      <c r="U22" s="11">
        <f>'PENJUALAN (QTY)'!T22 * C22</f>
        <v>0</v>
      </c>
      <c r="V22" s="11">
        <f>'PENJUALAN (QTY)'!U22 * C22</f>
        <v>0</v>
      </c>
      <c r="W22" s="11">
        <f>'PENJUALAN (QTY)'!V22 * C22</f>
        <v>0</v>
      </c>
      <c r="X22" s="11">
        <f>'PENJUALAN (QTY)'!W22 * C22</f>
        <v>0</v>
      </c>
      <c r="Y22" s="11">
        <f>'PENJUALAN (QTY)'!X22 * C22</f>
        <v>0</v>
      </c>
      <c r="Z22" s="11">
        <f>'PENJUALAN (QTY)'!Y22 * C22</f>
        <v>0</v>
      </c>
      <c r="AA22" s="11">
        <f>'PENJUALAN (QTY)'!Z22 * C22</f>
        <v>0</v>
      </c>
      <c r="AB22" s="11">
        <f>'PENJUALAN (QTY)'!AA22 * C22</f>
        <v>0</v>
      </c>
      <c r="AC22" s="11">
        <f>'PENJUALAN (QTY)'!AB22 * C22</f>
        <v>0</v>
      </c>
      <c r="AD22" s="11">
        <f>'PENJUALAN (QTY)'!AC22 * C22</f>
        <v>0</v>
      </c>
      <c r="AE22" s="11">
        <f>'PENJUALAN (QTY)'!AD22 * C22</f>
        <v>0</v>
      </c>
      <c r="AF22" s="11">
        <f>'PENJUALAN (QTY)'!AE22 * C22</f>
        <v>0</v>
      </c>
      <c r="AG22" s="11">
        <f>'PENJUALAN (QTY)'!AF22 * C22</f>
        <v>0</v>
      </c>
      <c r="AH22" s="11">
        <f>'PENJUALAN (QTY)'!AG22 * C22</f>
        <v>0</v>
      </c>
      <c r="AI22" s="70">
        <f t="shared" si="0"/>
        <v>0</v>
      </c>
    </row>
    <row r="23" spans="1:35">
      <c r="A23" s="38" t="s">
        <v>198</v>
      </c>
      <c r="B23" s="13" t="str">
        <f>IFERROR(INDEX(tbl_Produk[NAMA PRODUK], MATCH(A23, tbl_Produk[KODE PRODUK], 0)), "")</f>
        <v>MILKSHAKE</v>
      </c>
      <c r="C23" s="11">
        <f>IFERROR(INDEX(tbl_Produk[HARGA JUAL OFFLINE], MATCH(A23, tbl_Produk[KODE PRODUK], 0)), "")</f>
        <v>10000</v>
      </c>
      <c r="D23" s="11">
        <f>'PENJUALAN (QTY)'!C23 * C23</f>
        <v>0</v>
      </c>
      <c r="E23" s="11">
        <f>'PENJUALAN (QTY)'!D23 * C23</f>
        <v>0</v>
      </c>
      <c r="F23" s="11">
        <f>'PENJUALAN (QTY)'!E23 * C23</f>
        <v>0</v>
      </c>
      <c r="G23" s="11">
        <f>'PENJUALAN (QTY)'!F23 * C23</f>
        <v>0</v>
      </c>
      <c r="H23" s="11">
        <f>'PENJUALAN (QTY)'!G23 * C23</f>
        <v>0</v>
      </c>
      <c r="I23" s="11">
        <f>'PENJUALAN (QTY)'!H23 * C23</f>
        <v>0</v>
      </c>
      <c r="J23" s="11">
        <f>'PENJUALAN (QTY)'!I23 * C23</f>
        <v>0</v>
      </c>
      <c r="K23" s="11">
        <f>'PENJUALAN (QTY)'!J23 * C23</f>
        <v>0</v>
      </c>
      <c r="L23" s="11">
        <f>'PENJUALAN (QTY)'!K23 * C23</f>
        <v>0</v>
      </c>
      <c r="M23" s="11">
        <f>'PENJUALAN (QTY)'!L23 * C23</f>
        <v>0</v>
      </c>
      <c r="N23" s="11">
        <f>'PENJUALAN (QTY)'!M23 * C23</f>
        <v>0</v>
      </c>
      <c r="O23" s="11">
        <f>'PENJUALAN (QTY)'!N23 * C23</f>
        <v>0</v>
      </c>
      <c r="P23" s="11">
        <f>'PENJUALAN (QTY)'!O23 * C23</f>
        <v>0</v>
      </c>
      <c r="Q23" s="11">
        <f>'PENJUALAN (QTY)'!P23 * C23</f>
        <v>0</v>
      </c>
      <c r="R23" s="11">
        <f>'PENJUALAN (QTY)'!Q23 * C23</f>
        <v>0</v>
      </c>
      <c r="S23" s="11">
        <f>'PENJUALAN (QTY)'!R23 * C23</f>
        <v>0</v>
      </c>
      <c r="T23" s="11">
        <f>'PENJUALAN (QTY)'!S23 * C23</f>
        <v>0</v>
      </c>
      <c r="U23" s="11">
        <f>'PENJUALAN (QTY)'!T23 * C23</f>
        <v>0</v>
      </c>
      <c r="V23" s="11">
        <f>'PENJUALAN (QTY)'!U23 * C23</f>
        <v>0</v>
      </c>
      <c r="W23" s="11">
        <f>'PENJUALAN (QTY)'!V23 * C23</f>
        <v>0</v>
      </c>
      <c r="X23" s="11">
        <f>'PENJUALAN (QTY)'!W23 * C23</f>
        <v>0</v>
      </c>
      <c r="Y23" s="11">
        <f>'PENJUALAN (QTY)'!X23 * C23</f>
        <v>0</v>
      </c>
      <c r="Z23" s="11">
        <f>'PENJUALAN (QTY)'!Y23 * C23</f>
        <v>0</v>
      </c>
      <c r="AA23" s="11">
        <f>'PENJUALAN (QTY)'!Z23 * C23</f>
        <v>0</v>
      </c>
      <c r="AB23" s="11">
        <f>'PENJUALAN (QTY)'!AA23 * C23</f>
        <v>0</v>
      </c>
      <c r="AC23" s="11">
        <f>'PENJUALAN (QTY)'!AB23 * C23</f>
        <v>0</v>
      </c>
      <c r="AD23" s="11">
        <f>'PENJUALAN (QTY)'!AC23 * C23</f>
        <v>0</v>
      </c>
      <c r="AE23" s="11">
        <f>'PENJUALAN (QTY)'!AD23 * C23</f>
        <v>0</v>
      </c>
      <c r="AF23" s="11">
        <f>'PENJUALAN (QTY)'!AE23 * C23</f>
        <v>0</v>
      </c>
      <c r="AG23" s="11">
        <f>'PENJUALAN (QTY)'!AF23 * C23</f>
        <v>0</v>
      </c>
      <c r="AH23" s="11">
        <f>'PENJUALAN (QTY)'!AG23 * C23</f>
        <v>0</v>
      </c>
      <c r="AI23" s="70">
        <f t="shared" si="0"/>
        <v>0</v>
      </c>
    </row>
    <row r="24" spans="1:35">
      <c r="A24" s="38" t="s">
        <v>199</v>
      </c>
      <c r="B24" s="13" t="str">
        <f>IFERROR(INDEX(tbl_Produk[NAMA PRODUK], MATCH(A24, tbl_Produk[KODE PRODUK], 0)), "")</f>
        <v>NASI PUTIH</v>
      </c>
      <c r="C24" s="11">
        <f>IFERROR(INDEX(tbl_Produk[HARGA JUAL OFFLINE], MATCH(A24, tbl_Produk[KODE PRODUK], 0)), "")</f>
        <v>3000</v>
      </c>
      <c r="D24" s="11">
        <f>'PENJUALAN (QTY)'!C24 * C24</f>
        <v>0</v>
      </c>
      <c r="E24" s="11">
        <f>'PENJUALAN (QTY)'!D24 * C24</f>
        <v>0</v>
      </c>
      <c r="F24" s="11">
        <f>'PENJUALAN (QTY)'!E24 * C24</f>
        <v>0</v>
      </c>
      <c r="G24" s="11">
        <f>'PENJUALAN (QTY)'!F24 * C24</f>
        <v>0</v>
      </c>
      <c r="H24" s="11">
        <f>'PENJUALAN (QTY)'!G24 * C24</f>
        <v>0</v>
      </c>
      <c r="I24" s="11">
        <f>'PENJUALAN (QTY)'!H24 * C24</f>
        <v>0</v>
      </c>
      <c r="J24" s="11">
        <f>'PENJUALAN (QTY)'!I24 * C24</f>
        <v>0</v>
      </c>
      <c r="K24" s="11">
        <f>'PENJUALAN (QTY)'!J24 * C24</f>
        <v>0</v>
      </c>
      <c r="L24" s="11">
        <f>'PENJUALAN (QTY)'!K24 * C24</f>
        <v>0</v>
      </c>
      <c r="M24" s="11">
        <f>'PENJUALAN (QTY)'!L24 * C24</f>
        <v>0</v>
      </c>
      <c r="N24" s="11">
        <f>'PENJUALAN (QTY)'!M24 * C24</f>
        <v>0</v>
      </c>
      <c r="O24" s="11">
        <f>'PENJUALAN (QTY)'!N24 * C24</f>
        <v>0</v>
      </c>
      <c r="P24" s="11">
        <f>'PENJUALAN (QTY)'!O24 * C24</f>
        <v>0</v>
      </c>
      <c r="Q24" s="11">
        <f>'PENJUALAN (QTY)'!P24 * C24</f>
        <v>0</v>
      </c>
      <c r="R24" s="11">
        <f>'PENJUALAN (QTY)'!Q24 * C24</f>
        <v>0</v>
      </c>
      <c r="S24" s="11">
        <f>'PENJUALAN (QTY)'!R24 * C24</f>
        <v>0</v>
      </c>
      <c r="T24" s="11">
        <f>'PENJUALAN (QTY)'!S24 * C24</f>
        <v>0</v>
      </c>
      <c r="U24" s="11">
        <f>'PENJUALAN (QTY)'!T24 * C24</f>
        <v>0</v>
      </c>
      <c r="V24" s="11">
        <f>'PENJUALAN (QTY)'!U24 * C24</f>
        <v>0</v>
      </c>
      <c r="W24" s="11">
        <f>'PENJUALAN (QTY)'!V24 * C24</f>
        <v>0</v>
      </c>
      <c r="X24" s="11">
        <f>'PENJUALAN (QTY)'!W24 * C24</f>
        <v>0</v>
      </c>
      <c r="Y24" s="11">
        <f>'PENJUALAN (QTY)'!X24 * C24</f>
        <v>0</v>
      </c>
      <c r="Z24" s="11">
        <f>'PENJUALAN (QTY)'!Y24 * C24</f>
        <v>0</v>
      </c>
      <c r="AA24" s="11">
        <f>'PENJUALAN (QTY)'!Z24 * C24</f>
        <v>0</v>
      </c>
      <c r="AB24" s="11">
        <f>'PENJUALAN (QTY)'!AA24 * C24</f>
        <v>0</v>
      </c>
      <c r="AC24" s="11">
        <f>'PENJUALAN (QTY)'!AB24 * C24</f>
        <v>0</v>
      </c>
      <c r="AD24" s="11">
        <f>'PENJUALAN (QTY)'!AC24 * C24</f>
        <v>0</v>
      </c>
      <c r="AE24" s="11">
        <f>'PENJUALAN (QTY)'!AD24 * C24</f>
        <v>0</v>
      </c>
      <c r="AF24" s="11">
        <f>'PENJUALAN (QTY)'!AE24 * C24</f>
        <v>0</v>
      </c>
      <c r="AG24" s="11">
        <f>'PENJUALAN (QTY)'!AF24 * C24</f>
        <v>0</v>
      </c>
      <c r="AH24" s="11">
        <f>'PENJUALAN (QTY)'!AG24 * C24</f>
        <v>0</v>
      </c>
      <c r="AI24" s="70">
        <f t="shared" si="0"/>
        <v>0</v>
      </c>
    </row>
    <row r="25" spans="1:35">
      <c r="A25" s="38" t="s">
        <v>200</v>
      </c>
      <c r="B25" s="13" t="str">
        <f>IFERROR(INDEX(tbl_Produk[NAMA PRODUK], MATCH(A25, tbl_Produk[KODE PRODUK], 0)), "")</f>
        <v>ONION RINGS</v>
      </c>
      <c r="C25" s="11">
        <f>IFERROR(INDEX(tbl_Produk[HARGA JUAL OFFLINE], MATCH(A25, tbl_Produk[KODE PRODUK], 0)), "")</f>
        <v>7000</v>
      </c>
      <c r="D25" s="11">
        <f>'PENJUALAN (QTY)'!C25 * C25</f>
        <v>0</v>
      </c>
      <c r="E25" s="11">
        <f>'PENJUALAN (QTY)'!D25 * C25</f>
        <v>0</v>
      </c>
      <c r="F25" s="11">
        <f>'PENJUALAN (QTY)'!E25 * C25</f>
        <v>0</v>
      </c>
      <c r="G25" s="11">
        <f>'PENJUALAN (QTY)'!F25 * C25</f>
        <v>0</v>
      </c>
      <c r="H25" s="11">
        <f>'PENJUALAN (QTY)'!G25 * C25</f>
        <v>0</v>
      </c>
      <c r="I25" s="11">
        <f>'PENJUALAN (QTY)'!H25 * C25</f>
        <v>0</v>
      </c>
      <c r="J25" s="11">
        <f>'PENJUALAN (QTY)'!I25 * C25</f>
        <v>0</v>
      </c>
      <c r="K25" s="11">
        <f>'PENJUALAN (QTY)'!J25 * C25</f>
        <v>0</v>
      </c>
      <c r="L25" s="11">
        <f>'PENJUALAN (QTY)'!K25 * C25</f>
        <v>0</v>
      </c>
      <c r="M25" s="11">
        <f>'PENJUALAN (QTY)'!L25 * C25</f>
        <v>0</v>
      </c>
      <c r="N25" s="11">
        <f>'PENJUALAN (QTY)'!M25 * C25</f>
        <v>0</v>
      </c>
      <c r="O25" s="11">
        <f>'PENJUALAN (QTY)'!N25 * C25</f>
        <v>0</v>
      </c>
      <c r="P25" s="11">
        <f>'PENJUALAN (QTY)'!O25 * C25</f>
        <v>0</v>
      </c>
      <c r="Q25" s="11">
        <f>'PENJUALAN (QTY)'!P25 * C25</f>
        <v>0</v>
      </c>
      <c r="R25" s="11">
        <f>'PENJUALAN (QTY)'!Q25 * C25</f>
        <v>0</v>
      </c>
      <c r="S25" s="11">
        <f>'PENJUALAN (QTY)'!R25 * C25</f>
        <v>0</v>
      </c>
      <c r="T25" s="11">
        <f>'PENJUALAN (QTY)'!S25 * C25</f>
        <v>0</v>
      </c>
      <c r="U25" s="11">
        <f>'PENJUALAN (QTY)'!T25 * C25</f>
        <v>0</v>
      </c>
      <c r="V25" s="11">
        <f>'PENJUALAN (QTY)'!U25 * C25</f>
        <v>0</v>
      </c>
      <c r="W25" s="11">
        <f>'PENJUALAN (QTY)'!V25 * C25</f>
        <v>0</v>
      </c>
      <c r="X25" s="11">
        <f>'PENJUALAN (QTY)'!W25 * C25</f>
        <v>0</v>
      </c>
      <c r="Y25" s="11">
        <f>'PENJUALAN (QTY)'!X25 * C25</f>
        <v>0</v>
      </c>
      <c r="Z25" s="11">
        <f>'PENJUALAN (QTY)'!Y25 * C25</f>
        <v>0</v>
      </c>
      <c r="AA25" s="11">
        <f>'PENJUALAN (QTY)'!Z25 * C25</f>
        <v>0</v>
      </c>
      <c r="AB25" s="11">
        <f>'PENJUALAN (QTY)'!AA25 * C25</f>
        <v>0</v>
      </c>
      <c r="AC25" s="11">
        <f>'PENJUALAN (QTY)'!AB25 * C25</f>
        <v>0</v>
      </c>
      <c r="AD25" s="11">
        <f>'PENJUALAN (QTY)'!AC25 * C25</f>
        <v>0</v>
      </c>
      <c r="AE25" s="11">
        <f>'PENJUALAN (QTY)'!AD25 * C25</f>
        <v>0</v>
      </c>
      <c r="AF25" s="11">
        <f>'PENJUALAN (QTY)'!AE25 * C25</f>
        <v>0</v>
      </c>
      <c r="AG25" s="11">
        <f>'PENJUALAN (QTY)'!AF25 * C25</f>
        <v>0</v>
      </c>
      <c r="AH25" s="11">
        <f>'PENJUALAN (QTY)'!AG25 * C25</f>
        <v>0</v>
      </c>
      <c r="AI25" s="70">
        <f t="shared" si="0"/>
        <v>0</v>
      </c>
    </row>
    <row r="26" spans="1:35">
      <c r="A26" s="38" t="s">
        <v>201</v>
      </c>
      <c r="B26" s="13" t="str">
        <f>IFERROR(INDEX(tbl_Produk[NAMA PRODUK], MATCH(A26, tbl_Produk[KODE PRODUK], 0)), "")</f>
        <v>SAMBAL BAWANG</v>
      </c>
      <c r="C26" s="11">
        <f>IFERROR(INDEX(tbl_Produk[HARGA JUAL OFFLINE], MATCH(A26, tbl_Produk[KODE PRODUK], 0)), "")</f>
        <v>3000</v>
      </c>
      <c r="D26" s="11">
        <f>'PENJUALAN (QTY)'!C26 * C26</f>
        <v>0</v>
      </c>
      <c r="E26" s="11">
        <f>'PENJUALAN (QTY)'!D26 * C26</f>
        <v>6000</v>
      </c>
      <c r="F26" s="11">
        <f>'PENJUALAN (QTY)'!E26 * C26</f>
        <v>0</v>
      </c>
      <c r="G26" s="11">
        <f>'PENJUALAN (QTY)'!F26 * C26</f>
        <v>0</v>
      </c>
      <c r="H26" s="11">
        <f>'PENJUALAN (QTY)'!G26 * C26</f>
        <v>0</v>
      </c>
      <c r="I26" s="11">
        <f>'PENJUALAN (QTY)'!H26 * C26</f>
        <v>0</v>
      </c>
      <c r="J26" s="11">
        <f>'PENJUALAN (QTY)'!I26 * C26</f>
        <v>0</v>
      </c>
      <c r="K26" s="11">
        <f>'PENJUALAN (QTY)'!J26 * C26</f>
        <v>0</v>
      </c>
      <c r="L26" s="11">
        <f>'PENJUALAN (QTY)'!K26 * C26</f>
        <v>3000</v>
      </c>
      <c r="M26" s="11">
        <f>'PENJUALAN (QTY)'!L26 * C26</f>
        <v>0</v>
      </c>
      <c r="N26" s="11">
        <f>'PENJUALAN (QTY)'!M26 * C26</f>
        <v>0</v>
      </c>
      <c r="O26" s="11">
        <f>'PENJUALAN (QTY)'!N26 * C26</f>
        <v>0</v>
      </c>
      <c r="P26" s="11">
        <f>'PENJUALAN (QTY)'!O26 * C26</f>
        <v>0</v>
      </c>
      <c r="Q26" s="11">
        <f>'PENJUALAN (QTY)'!P26 * C26</f>
        <v>0</v>
      </c>
      <c r="R26" s="11">
        <f>'PENJUALAN (QTY)'!Q26 * C26</f>
        <v>0</v>
      </c>
      <c r="S26" s="11">
        <f>'PENJUALAN (QTY)'!R26 * C26</f>
        <v>0</v>
      </c>
      <c r="T26" s="11">
        <f>'PENJUALAN (QTY)'!S26 * C26</f>
        <v>0</v>
      </c>
      <c r="U26" s="11">
        <f>'PENJUALAN (QTY)'!T26 * C26</f>
        <v>0</v>
      </c>
      <c r="V26" s="11">
        <f>'PENJUALAN (QTY)'!U26 * C26</f>
        <v>0</v>
      </c>
      <c r="W26" s="11">
        <f>'PENJUALAN (QTY)'!V26 * C26</f>
        <v>0</v>
      </c>
      <c r="X26" s="11">
        <f>'PENJUALAN (QTY)'!W26 * C26</f>
        <v>0</v>
      </c>
      <c r="Y26" s="11">
        <f>'PENJUALAN (QTY)'!X26 * C26</f>
        <v>0</v>
      </c>
      <c r="Z26" s="11">
        <f>'PENJUALAN (QTY)'!Y26 * C26</f>
        <v>0</v>
      </c>
      <c r="AA26" s="11">
        <f>'PENJUALAN (QTY)'!Z26 * C26</f>
        <v>0</v>
      </c>
      <c r="AB26" s="11">
        <f>'PENJUALAN (QTY)'!AA26 * C26</f>
        <v>0</v>
      </c>
      <c r="AC26" s="11">
        <f>'PENJUALAN (QTY)'!AB26 * C26</f>
        <v>0</v>
      </c>
      <c r="AD26" s="11">
        <f>'PENJUALAN (QTY)'!AC26 * C26</f>
        <v>0</v>
      </c>
      <c r="AE26" s="11">
        <f>'PENJUALAN (QTY)'!AD26 * C26</f>
        <v>0</v>
      </c>
      <c r="AF26" s="11">
        <f>'PENJUALAN (QTY)'!AE26 * C26</f>
        <v>0</v>
      </c>
      <c r="AG26" s="11">
        <f>'PENJUALAN (QTY)'!AF26 * C26</f>
        <v>0</v>
      </c>
      <c r="AH26" s="11">
        <f>'PENJUALAN (QTY)'!AG26 * C26</f>
        <v>0</v>
      </c>
      <c r="AI26" s="70">
        <f t="shared" si="0"/>
        <v>9000</v>
      </c>
    </row>
    <row r="27" spans="1:35">
      <c r="A27" s="38" t="s">
        <v>202</v>
      </c>
      <c r="B27" s="13" t="str">
        <f>IFERROR(INDEX(tbl_Produk[NAMA PRODUK], MATCH(A27, tbl_Produk[KODE PRODUK], 0)), "")</f>
        <v>SAMBAL IJO</v>
      </c>
      <c r="C27" s="11">
        <f>IFERROR(INDEX(tbl_Produk[HARGA JUAL OFFLINE], MATCH(A27, tbl_Produk[KODE PRODUK], 0)), "")</f>
        <v>3000</v>
      </c>
      <c r="D27" s="11">
        <f>'PENJUALAN (QTY)'!C27 * C27</f>
        <v>0</v>
      </c>
      <c r="E27" s="11">
        <f>'PENJUALAN (QTY)'!D27 * C27</f>
        <v>0</v>
      </c>
      <c r="F27" s="11">
        <f>'PENJUALAN (QTY)'!E27 * C27</f>
        <v>0</v>
      </c>
      <c r="G27" s="11">
        <f>'PENJUALAN (QTY)'!F27 * C27</f>
        <v>0</v>
      </c>
      <c r="H27" s="11">
        <f>'PENJUALAN (QTY)'!G27 * C27</f>
        <v>0</v>
      </c>
      <c r="I27" s="11">
        <f>'PENJUALAN (QTY)'!H27 * C27</f>
        <v>0</v>
      </c>
      <c r="J27" s="11">
        <f>'PENJUALAN (QTY)'!I27 * C27</f>
        <v>0</v>
      </c>
      <c r="K27" s="11">
        <f>'PENJUALAN (QTY)'!J27 * C27</f>
        <v>0</v>
      </c>
      <c r="L27" s="11">
        <f>'PENJUALAN (QTY)'!K27 * C27</f>
        <v>0</v>
      </c>
      <c r="M27" s="11">
        <f>'PENJUALAN (QTY)'!L27 * C27</f>
        <v>0</v>
      </c>
      <c r="N27" s="11">
        <f>'PENJUALAN (QTY)'!M27 * C27</f>
        <v>0</v>
      </c>
      <c r="O27" s="11">
        <f>'PENJUALAN (QTY)'!N27 * C27</f>
        <v>0</v>
      </c>
      <c r="P27" s="11">
        <f>'PENJUALAN (QTY)'!O27 * C27</f>
        <v>0</v>
      </c>
      <c r="Q27" s="11">
        <f>'PENJUALAN (QTY)'!P27 * C27</f>
        <v>0</v>
      </c>
      <c r="R27" s="11">
        <f>'PENJUALAN (QTY)'!Q27 * C27</f>
        <v>0</v>
      </c>
      <c r="S27" s="11">
        <f>'PENJUALAN (QTY)'!R27 * C27</f>
        <v>0</v>
      </c>
      <c r="T27" s="11">
        <f>'PENJUALAN (QTY)'!S27 * C27</f>
        <v>0</v>
      </c>
      <c r="U27" s="11">
        <f>'PENJUALAN (QTY)'!T27 * C27</f>
        <v>0</v>
      </c>
      <c r="V27" s="11">
        <f>'PENJUALAN (QTY)'!U27 * C27</f>
        <v>0</v>
      </c>
      <c r="W27" s="11">
        <f>'PENJUALAN (QTY)'!V27 * C27</f>
        <v>0</v>
      </c>
      <c r="X27" s="11">
        <f>'PENJUALAN (QTY)'!W27 * C27</f>
        <v>0</v>
      </c>
      <c r="Y27" s="11">
        <f>'PENJUALAN (QTY)'!X27 * C27</f>
        <v>0</v>
      </c>
      <c r="Z27" s="11">
        <f>'PENJUALAN (QTY)'!Y27 * C27</f>
        <v>0</v>
      </c>
      <c r="AA27" s="11">
        <f>'PENJUALAN (QTY)'!Z27 * C27</f>
        <v>0</v>
      </c>
      <c r="AB27" s="11">
        <f>'PENJUALAN (QTY)'!AA27 * C27</f>
        <v>0</v>
      </c>
      <c r="AC27" s="11">
        <f>'PENJUALAN (QTY)'!AB27 * C27</f>
        <v>0</v>
      </c>
      <c r="AD27" s="11">
        <f>'PENJUALAN (QTY)'!AC27 * C27</f>
        <v>0</v>
      </c>
      <c r="AE27" s="11">
        <f>'PENJUALAN (QTY)'!AD27 * C27</f>
        <v>0</v>
      </c>
      <c r="AF27" s="11">
        <f>'PENJUALAN (QTY)'!AE27 * C27</f>
        <v>0</v>
      </c>
      <c r="AG27" s="11">
        <f>'PENJUALAN (QTY)'!AF27 * C27</f>
        <v>0</v>
      </c>
      <c r="AH27" s="11">
        <f>'PENJUALAN (QTY)'!AG27 * C27</f>
        <v>0</v>
      </c>
      <c r="AI27" s="70">
        <f t="shared" si="0"/>
        <v>0</v>
      </c>
    </row>
    <row r="28" spans="1:35">
      <c r="A28" s="38" t="s">
        <v>203</v>
      </c>
      <c r="B28" s="13" t="str">
        <f>IFERROR(INDEX(tbl_Produk[NAMA PRODUK], MATCH(A28, tbl_Produk[KODE PRODUK], 0)), "")</f>
        <v>SAMBAL MATAH</v>
      </c>
      <c r="C28" s="11">
        <f>IFERROR(INDEX(tbl_Produk[HARGA JUAL OFFLINE], MATCH(A28, tbl_Produk[KODE PRODUK], 0)), "")</f>
        <v>3000</v>
      </c>
      <c r="D28" s="11">
        <f>'PENJUALAN (QTY)'!C28 * C28</f>
        <v>0</v>
      </c>
      <c r="E28" s="11">
        <f>'PENJUALAN (QTY)'!D28 * C28</f>
        <v>0</v>
      </c>
      <c r="F28" s="11">
        <f>'PENJUALAN (QTY)'!E28 * C28</f>
        <v>0</v>
      </c>
      <c r="G28" s="11">
        <f>'PENJUALAN (QTY)'!F28 * C28</f>
        <v>0</v>
      </c>
      <c r="H28" s="11">
        <f>'PENJUALAN (QTY)'!G28 * C28</f>
        <v>0</v>
      </c>
      <c r="I28" s="11">
        <f>'PENJUALAN (QTY)'!H28 * C28</f>
        <v>0</v>
      </c>
      <c r="J28" s="11">
        <f>'PENJUALAN (QTY)'!I28 * C28</f>
        <v>0</v>
      </c>
      <c r="K28" s="11">
        <f>'PENJUALAN (QTY)'!J28 * C28</f>
        <v>0</v>
      </c>
      <c r="L28" s="11">
        <f>'PENJUALAN (QTY)'!K28 * C28</f>
        <v>0</v>
      </c>
      <c r="M28" s="11">
        <f>'PENJUALAN (QTY)'!L28 * C28</f>
        <v>0</v>
      </c>
      <c r="N28" s="11">
        <f>'PENJUALAN (QTY)'!M28 * C28</f>
        <v>0</v>
      </c>
      <c r="O28" s="11">
        <f>'PENJUALAN (QTY)'!N28 * C28</f>
        <v>0</v>
      </c>
      <c r="P28" s="11">
        <f>'PENJUALAN (QTY)'!O28 * C28</f>
        <v>0</v>
      </c>
      <c r="Q28" s="11">
        <f>'PENJUALAN (QTY)'!P28 * C28</f>
        <v>0</v>
      </c>
      <c r="R28" s="11">
        <f>'PENJUALAN (QTY)'!Q28 * C28</f>
        <v>0</v>
      </c>
      <c r="S28" s="11">
        <f>'PENJUALAN (QTY)'!R28 * C28</f>
        <v>0</v>
      </c>
      <c r="T28" s="11">
        <f>'PENJUALAN (QTY)'!S28 * C28</f>
        <v>0</v>
      </c>
      <c r="U28" s="11">
        <f>'PENJUALAN (QTY)'!T28 * C28</f>
        <v>0</v>
      </c>
      <c r="V28" s="11">
        <f>'PENJUALAN (QTY)'!U28 * C28</f>
        <v>0</v>
      </c>
      <c r="W28" s="11">
        <f>'PENJUALAN (QTY)'!V28 * C28</f>
        <v>0</v>
      </c>
      <c r="X28" s="11">
        <f>'PENJUALAN (QTY)'!W28 * C28</f>
        <v>0</v>
      </c>
      <c r="Y28" s="11">
        <f>'PENJUALAN (QTY)'!X28 * C28</f>
        <v>0</v>
      </c>
      <c r="Z28" s="11">
        <f>'PENJUALAN (QTY)'!Y28 * C28</f>
        <v>0</v>
      </c>
      <c r="AA28" s="11">
        <f>'PENJUALAN (QTY)'!Z28 * C28</f>
        <v>0</v>
      </c>
      <c r="AB28" s="11">
        <f>'PENJUALAN (QTY)'!AA28 * C28</f>
        <v>0</v>
      </c>
      <c r="AC28" s="11">
        <f>'PENJUALAN (QTY)'!AB28 * C28</f>
        <v>0</v>
      </c>
      <c r="AD28" s="11">
        <f>'PENJUALAN (QTY)'!AC28 * C28</f>
        <v>0</v>
      </c>
      <c r="AE28" s="11">
        <f>'PENJUALAN (QTY)'!AD28 * C28</f>
        <v>0</v>
      </c>
      <c r="AF28" s="11">
        <f>'PENJUALAN (QTY)'!AE28 * C28</f>
        <v>0</v>
      </c>
      <c r="AG28" s="11">
        <f>'PENJUALAN (QTY)'!AF28 * C28</f>
        <v>0</v>
      </c>
      <c r="AH28" s="11">
        <f>'PENJUALAN (QTY)'!AG28 * C28</f>
        <v>0</v>
      </c>
      <c r="AI28" s="70">
        <f t="shared" si="0"/>
        <v>0</v>
      </c>
    </row>
    <row r="29" spans="1:35">
      <c r="A29" s="38" t="s">
        <v>204</v>
      </c>
      <c r="B29" s="13" t="str">
        <f>IFERROR(INDEX(tbl_Produk[NAMA PRODUK], MATCH(A29, tbl_Produk[KODE PRODUK], 0)), "")</f>
        <v>SAUS BBQ</v>
      </c>
      <c r="C29" s="11">
        <f>IFERROR(INDEX(tbl_Produk[HARGA JUAL OFFLINE], MATCH(A29, tbl_Produk[KODE PRODUK], 0)), "")</f>
        <v>3000</v>
      </c>
      <c r="D29" s="11">
        <f>'PENJUALAN (QTY)'!C29 * C29</f>
        <v>0</v>
      </c>
      <c r="E29" s="11">
        <f>'PENJUALAN (QTY)'!D29 * C29</f>
        <v>0</v>
      </c>
      <c r="F29" s="11">
        <f>'PENJUALAN (QTY)'!E29 * C29</f>
        <v>0</v>
      </c>
      <c r="G29" s="11">
        <f>'PENJUALAN (QTY)'!F29 * C29</f>
        <v>0</v>
      </c>
      <c r="H29" s="11">
        <f>'PENJUALAN (QTY)'!G29 * C29</f>
        <v>0</v>
      </c>
      <c r="I29" s="11">
        <f>'PENJUALAN (QTY)'!H29 * C29</f>
        <v>0</v>
      </c>
      <c r="J29" s="11">
        <f>'PENJUALAN (QTY)'!I29 * C29</f>
        <v>0</v>
      </c>
      <c r="K29" s="11">
        <f>'PENJUALAN (QTY)'!J29 * C29</f>
        <v>0</v>
      </c>
      <c r="L29" s="11">
        <f>'PENJUALAN (QTY)'!K29 * C29</f>
        <v>0</v>
      </c>
      <c r="M29" s="11">
        <f>'PENJUALAN (QTY)'!L29 * C29</f>
        <v>0</v>
      </c>
      <c r="N29" s="11">
        <f>'PENJUALAN (QTY)'!M29 * C29</f>
        <v>0</v>
      </c>
      <c r="O29" s="11">
        <f>'PENJUALAN (QTY)'!N29 * C29</f>
        <v>0</v>
      </c>
      <c r="P29" s="11">
        <f>'PENJUALAN (QTY)'!O29 * C29</f>
        <v>0</v>
      </c>
      <c r="Q29" s="11">
        <f>'PENJUALAN (QTY)'!P29 * C29</f>
        <v>0</v>
      </c>
      <c r="R29" s="11">
        <f>'PENJUALAN (QTY)'!Q29 * C29</f>
        <v>0</v>
      </c>
      <c r="S29" s="11">
        <f>'PENJUALAN (QTY)'!R29 * C29</f>
        <v>0</v>
      </c>
      <c r="T29" s="11">
        <f>'PENJUALAN (QTY)'!S29 * C29</f>
        <v>0</v>
      </c>
      <c r="U29" s="11">
        <f>'PENJUALAN (QTY)'!T29 * C29</f>
        <v>0</v>
      </c>
      <c r="V29" s="11">
        <f>'PENJUALAN (QTY)'!U29 * C29</f>
        <v>0</v>
      </c>
      <c r="W29" s="11">
        <f>'PENJUALAN (QTY)'!V29 * C29</f>
        <v>0</v>
      </c>
      <c r="X29" s="11">
        <f>'PENJUALAN (QTY)'!W29 * C29</f>
        <v>0</v>
      </c>
      <c r="Y29" s="11">
        <f>'PENJUALAN (QTY)'!X29 * C29</f>
        <v>0</v>
      </c>
      <c r="Z29" s="11">
        <f>'PENJUALAN (QTY)'!Y29 * C29</f>
        <v>0</v>
      </c>
      <c r="AA29" s="11">
        <f>'PENJUALAN (QTY)'!Z29 * C29</f>
        <v>0</v>
      </c>
      <c r="AB29" s="11">
        <f>'PENJUALAN (QTY)'!AA29 * C29</f>
        <v>0</v>
      </c>
      <c r="AC29" s="11">
        <f>'PENJUALAN (QTY)'!AB29 * C29</f>
        <v>0</v>
      </c>
      <c r="AD29" s="11">
        <f>'PENJUALAN (QTY)'!AC29 * C29</f>
        <v>0</v>
      </c>
      <c r="AE29" s="11">
        <f>'PENJUALAN (QTY)'!AD29 * C29</f>
        <v>0</v>
      </c>
      <c r="AF29" s="11">
        <f>'PENJUALAN (QTY)'!AE29 * C29</f>
        <v>0</v>
      </c>
      <c r="AG29" s="11">
        <f>'PENJUALAN (QTY)'!AF29 * C29</f>
        <v>0</v>
      </c>
      <c r="AH29" s="11">
        <f>'PENJUALAN (QTY)'!AG29 * C29</f>
        <v>0</v>
      </c>
      <c r="AI29" s="70">
        <f t="shared" si="0"/>
        <v>0</v>
      </c>
    </row>
    <row r="30" spans="1:35">
      <c r="A30" s="38" t="s">
        <v>205</v>
      </c>
      <c r="B30" s="13" t="str">
        <f>IFERROR(INDEX(tbl_Produk[NAMA PRODUK], MATCH(A30, tbl_Produk[KODE PRODUK], 0)), "")</f>
        <v>SAUS BROCHEESE</v>
      </c>
      <c r="C30" s="11">
        <f>IFERROR(INDEX(tbl_Produk[HARGA JUAL OFFLINE], MATCH(A30, tbl_Produk[KODE PRODUK], 0)), "")</f>
        <v>3000</v>
      </c>
      <c r="D30" s="11">
        <f>'PENJUALAN (QTY)'!C30 * C30</f>
        <v>0</v>
      </c>
      <c r="E30" s="11">
        <f>'PENJUALAN (QTY)'!D30 * C30</f>
        <v>0</v>
      </c>
      <c r="F30" s="11">
        <f>'PENJUALAN (QTY)'!E30 * C30</f>
        <v>0</v>
      </c>
      <c r="G30" s="11">
        <f>'PENJUALAN (QTY)'!F30 * C30</f>
        <v>0</v>
      </c>
      <c r="H30" s="11">
        <f>'PENJUALAN (QTY)'!G30 * C30</f>
        <v>0</v>
      </c>
      <c r="I30" s="11">
        <f>'PENJUALAN (QTY)'!H30 * C30</f>
        <v>0</v>
      </c>
      <c r="J30" s="11">
        <f>'PENJUALAN (QTY)'!I30 * C30</f>
        <v>0</v>
      </c>
      <c r="K30" s="11">
        <f>'PENJUALAN (QTY)'!J30 * C30</f>
        <v>0</v>
      </c>
      <c r="L30" s="11">
        <f>'PENJUALAN (QTY)'!K30 * C30</f>
        <v>0</v>
      </c>
      <c r="M30" s="11">
        <f>'PENJUALAN (QTY)'!L30 * C30</f>
        <v>0</v>
      </c>
      <c r="N30" s="11">
        <f>'PENJUALAN (QTY)'!M30 * C30</f>
        <v>0</v>
      </c>
      <c r="O30" s="11">
        <f>'PENJUALAN (QTY)'!N30 * C30</f>
        <v>0</v>
      </c>
      <c r="P30" s="11">
        <f>'PENJUALAN (QTY)'!O30 * C30</f>
        <v>0</v>
      </c>
      <c r="Q30" s="11">
        <f>'PENJUALAN (QTY)'!P30 * C30</f>
        <v>0</v>
      </c>
      <c r="R30" s="11">
        <f>'PENJUALAN (QTY)'!Q30 * C30</f>
        <v>0</v>
      </c>
      <c r="S30" s="11">
        <f>'PENJUALAN (QTY)'!R30 * C30</f>
        <v>0</v>
      </c>
      <c r="T30" s="11">
        <f>'PENJUALAN (QTY)'!S30 * C30</f>
        <v>0</v>
      </c>
      <c r="U30" s="11">
        <f>'PENJUALAN (QTY)'!T30 * C30</f>
        <v>0</v>
      </c>
      <c r="V30" s="11">
        <f>'PENJUALAN (QTY)'!U30 * C30</f>
        <v>0</v>
      </c>
      <c r="W30" s="11">
        <f>'PENJUALAN (QTY)'!V30 * C30</f>
        <v>0</v>
      </c>
      <c r="X30" s="11">
        <f>'PENJUALAN (QTY)'!W30 * C30</f>
        <v>0</v>
      </c>
      <c r="Y30" s="11">
        <f>'PENJUALAN (QTY)'!X30 * C30</f>
        <v>0</v>
      </c>
      <c r="Z30" s="11">
        <f>'PENJUALAN (QTY)'!Y30 * C30</f>
        <v>0</v>
      </c>
      <c r="AA30" s="11">
        <f>'PENJUALAN (QTY)'!Z30 * C30</f>
        <v>0</v>
      </c>
      <c r="AB30" s="11">
        <f>'PENJUALAN (QTY)'!AA30 * C30</f>
        <v>0</v>
      </c>
      <c r="AC30" s="11">
        <f>'PENJUALAN (QTY)'!AB30 * C30</f>
        <v>0</v>
      </c>
      <c r="AD30" s="11">
        <f>'PENJUALAN (QTY)'!AC30 * C30</f>
        <v>0</v>
      </c>
      <c r="AE30" s="11">
        <f>'PENJUALAN (QTY)'!AD30 * C30</f>
        <v>0</v>
      </c>
      <c r="AF30" s="11">
        <f>'PENJUALAN (QTY)'!AE30 * C30</f>
        <v>0</v>
      </c>
      <c r="AG30" s="11">
        <f>'PENJUALAN (QTY)'!AF30 * C30</f>
        <v>0</v>
      </c>
      <c r="AH30" s="11">
        <f>'PENJUALAN (QTY)'!AG30 * C30</f>
        <v>0</v>
      </c>
      <c r="AI30" s="70">
        <f t="shared" si="0"/>
        <v>0</v>
      </c>
    </row>
    <row r="31" spans="1:35">
      <c r="A31" s="38" t="s">
        <v>206</v>
      </c>
      <c r="B31" s="13" t="str">
        <f>IFERROR(INDEX(tbl_Produk[NAMA PRODUK], MATCH(A31, tbl_Produk[KODE PRODUK], 0)), "")</f>
        <v>SAUS CREAMY CHEESE</v>
      </c>
      <c r="C31" s="11">
        <f>IFERROR(INDEX(tbl_Produk[HARGA JUAL OFFLINE], MATCH(A31, tbl_Produk[KODE PRODUK], 0)), "")</f>
        <v>3000</v>
      </c>
      <c r="D31" s="11">
        <f>'PENJUALAN (QTY)'!C31 * C31</f>
        <v>0</v>
      </c>
      <c r="E31" s="11">
        <f>'PENJUALAN (QTY)'!D31 * C31</f>
        <v>0</v>
      </c>
      <c r="F31" s="11">
        <f>'PENJUALAN (QTY)'!E31 * C31</f>
        <v>0</v>
      </c>
      <c r="G31" s="11">
        <f>'PENJUALAN (QTY)'!F31 * C31</f>
        <v>0</v>
      </c>
      <c r="H31" s="11">
        <f>'PENJUALAN (QTY)'!G31 * C31</f>
        <v>0</v>
      </c>
      <c r="I31" s="11">
        <f>'PENJUALAN (QTY)'!H31 * C31</f>
        <v>0</v>
      </c>
      <c r="J31" s="11">
        <f>'PENJUALAN (QTY)'!I31 * C31</f>
        <v>0</v>
      </c>
      <c r="K31" s="11">
        <f>'PENJUALAN (QTY)'!J31 * C31</f>
        <v>0</v>
      </c>
      <c r="L31" s="11">
        <f>'PENJUALAN (QTY)'!K31 * C31</f>
        <v>0</v>
      </c>
      <c r="M31" s="11">
        <f>'PENJUALAN (QTY)'!L31 * C31</f>
        <v>0</v>
      </c>
      <c r="N31" s="11">
        <f>'PENJUALAN (QTY)'!M31 * C31</f>
        <v>0</v>
      </c>
      <c r="O31" s="11">
        <f>'PENJUALAN (QTY)'!N31 * C31</f>
        <v>0</v>
      </c>
      <c r="P31" s="11">
        <f>'PENJUALAN (QTY)'!O31 * C31</f>
        <v>0</v>
      </c>
      <c r="Q31" s="11">
        <f>'PENJUALAN (QTY)'!P31 * C31</f>
        <v>0</v>
      </c>
      <c r="R31" s="11">
        <f>'PENJUALAN (QTY)'!Q31 * C31</f>
        <v>0</v>
      </c>
      <c r="S31" s="11">
        <f>'PENJUALAN (QTY)'!R31 * C31</f>
        <v>0</v>
      </c>
      <c r="T31" s="11">
        <f>'PENJUALAN (QTY)'!S31 * C31</f>
        <v>0</v>
      </c>
      <c r="U31" s="11">
        <f>'PENJUALAN (QTY)'!T31 * C31</f>
        <v>0</v>
      </c>
      <c r="V31" s="11">
        <f>'PENJUALAN (QTY)'!U31 * C31</f>
        <v>0</v>
      </c>
      <c r="W31" s="11">
        <f>'PENJUALAN (QTY)'!V31 * C31</f>
        <v>0</v>
      </c>
      <c r="X31" s="11">
        <f>'PENJUALAN (QTY)'!W31 * C31</f>
        <v>0</v>
      </c>
      <c r="Y31" s="11">
        <f>'PENJUALAN (QTY)'!X31 * C31</f>
        <v>0</v>
      </c>
      <c r="Z31" s="11">
        <f>'PENJUALAN (QTY)'!Y31 * C31</f>
        <v>0</v>
      </c>
      <c r="AA31" s="11">
        <f>'PENJUALAN (QTY)'!Z31 * C31</f>
        <v>0</v>
      </c>
      <c r="AB31" s="11">
        <f>'PENJUALAN (QTY)'!AA31 * C31</f>
        <v>0</v>
      </c>
      <c r="AC31" s="11">
        <f>'PENJUALAN (QTY)'!AB31 * C31</f>
        <v>0</v>
      </c>
      <c r="AD31" s="11">
        <f>'PENJUALAN (QTY)'!AC31 * C31</f>
        <v>0</v>
      </c>
      <c r="AE31" s="11">
        <f>'PENJUALAN (QTY)'!AD31 * C31</f>
        <v>0</v>
      </c>
      <c r="AF31" s="11">
        <f>'PENJUALAN (QTY)'!AE31 * C31</f>
        <v>0</v>
      </c>
      <c r="AG31" s="11">
        <f>'PENJUALAN (QTY)'!AF31 * C31</f>
        <v>0</v>
      </c>
      <c r="AH31" s="11">
        <f>'PENJUALAN (QTY)'!AG31 * C31</f>
        <v>0</v>
      </c>
      <c r="AI31" s="70">
        <f t="shared" si="0"/>
        <v>0</v>
      </c>
    </row>
    <row r="32" spans="1:35">
      <c r="A32" s="38" t="s">
        <v>207</v>
      </c>
      <c r="B32" s="13" t="str">
        <f>IFERROR(INDEX(tbl_Produk[NAMA PRODUK], MATCH(A32, tbl_Produk[KODE PRODUK], 0)), "")</f>
        <v>TAHU CRISPY</v>
      </c>
      <c r="C32" s="11">
        <f>IFERROR(INDEX(tbl_Produk[HARGA JUAL OFFLINE], MATCH(A32, tbl_Produk[KODE PRODUK], 0)), "")</f>
        <v>5000</v>
      </c>
      <c r="D32" s="11">
        <f>'PENJUALAN (QTY)'!C32 * C32</f>
        <v>0</v>
      </c>
      <c r="E32" s="11">
        <f>'PENJUALAN (QTY)'!D32 * C32</f>
        <v>0</v>
      </c>
      <c r="F32" s="11">
        <f>'PENJUALAN (QTY)'!E32 * C32</f>
        <v>0</v>
      </c>
      <c r="G32" s="11">
        <f>'PENJUALAN (QTY)'!F32 * C32</f>
        <v>0</v>
      </c>
      <c r="H32" s="11">
        <f>'PENJUALAN (QTY)'!G32 * C32</f>
        <v>0</v>
      </c>
      <c r="I32" s="11">
        <f>'PENJUALAN (QTY)'!H32 * C32</f>
        <v>0</v>
      </c>
      <c r="J32" s="11">
        <f>'PENJUALAN (QTY)'!I32 * C32</f>
        <v>0</v>
      </c>
      <c r="K32" s="11">
        <f>'PENJUALAN (QTY)'!J32 * C32</f>
        <v>0</v>
      </c>
      <c r="L32" s="11">
        <f>'PENJUALAN (QTY)'!K32 * C32</f>
        <v>0</v>
      </c>
      <c r="M32" s="11">
        <f>'PENJUALAN (QTY)'!L32 * C32</f>
        <v>0</v>
      </c>
      <c r="N32" s="11">
        <f>'PENJUALAN (QTY)'!M32 * C32</f>
        <v>0</v>
      </c>
      <c r="O32" s="11">
        <f>'PENJUALAN (QTY)'!N32 * C32</f>
        <v>0</v>
      </c>
      <c r="P32" s="11">
        <f>'PENJUALAN (QTY)'!O32 * C32</f>
        <v>0</v>
      </c>
      <c r="Q32" s="11">
        <f>'PENJUALAN (QTY)'!P32 * C32</f>
        <v>0</v>
      </c>
      <c r="R32" s="11">
        <f>'PENJUALAN (QTY)'!Q32 * C32</f>
        <v>0</v>
      </c>
      <c r="S32" s="11">
        <f>'PENJUALAN (QTY)'!R32 * C32</f>
        <v>0</v>
      </c>
      <c r="T32" s="11">
        <f>'PENJUALAN (QTY)'!S32 * C32</f>
        <v>0</v>
      </c>
      <c r="U32" s="11">
        <f>'PENJUALAN (QTY)'!T32 * C32</f>
        <v>0</v>
      </c>
      <c r="V32" s="11">
        <f>'PENJUALAN (QTY)'!U32 * C32</f>
        <v>0</v>
      </c>
      <c r="W32" s="11">
        <f>'PENJUALAN (QTY)'!V32 * C32</f>
        <v>0</v>
      </c>
      <c r="X32" s="11">
        <f>'PENJUALAN (QTY)'!W32 * C32</f>
        <v>0</v>
      </c>
      <c r="Y32" s="11">
        <f>'PENJUALAN (QTY)'!X32 * C32</f>
        <v>0</v>
      </c>
      <c r="Z32" s="11">
        <f>'PENJUALAN (QTY)'!Y32 * C32</f>
        <v>0</v>
      </c>
      <c r="AA32" s="11">
        <f>'PENJUALAN (QTY)'!Z32 * C32</f>
        <v>0</v>
      </c>
      <c r="AB32" s="11">
        <f>'PENJUALAN (QTY)'!AA32 * C32</f>
        <v>0</v>
      </c>
      <c r="AC32" s="11">
        <f>'PENJUALAN (QTY)'!AB32 * C32</f>
        <v>0</v>
      </c>
      <c r="AD32" s="11">
        <f>'PENJUALAN (QTY)'!AC32 * C32</f>
        <v>0</v>
      </c>
      <c r="AE32" s="11">
        <f>'PENJUALAN (QTY)'!AD32 * C32</f>
        <v>0</v>
      </c>
      <c r="AF32" s="11">
        <f>'PENJUALAN (QTY)'!AE32 * C32</f>
        <v>0</v>
      </c>
      <c r="AG32" s="11">
        <f>'PENJUALAN (QTY)'!AF32 * C32</f>
        <v>0</v>
      </c>
      <c r="AH32" s="11">
        <f>'PENJUALAN (QTY)'!AG32 * C32</f>
        <v>0</v>
      </c>
      <c r="AI32" s="70">
        <f t="shared" si="0"/>
        <v>0</v>
      </c>
    </row>
    <row r="33" spans="1:35">
      <c r="A33" s="38" t="s">
        <v>208</v>
      </c>
      <c r="B33" s="13" t="str">
        <f>IFERROR(INDEX(tbl_Produk[NAMA PRODUK], MATCH(A33, tbl_Produk[KODE PRODUK], 0)), "")</f>
        <v>TOPPING KEJU</v>
      </c>
      <c r="C33" s="11">
        <f>IFERROR(INDEX(tbl_Produk[HARGA JUAL OFFLINE], MATCH(A33, tbl_Produk[KODE PRODUK], 0)), "")</f>
        <v>2000</v>
      </c>
      <c r="D33" s="11">
        <f>'PENJUALAN (QTY)'!C33 * C33</f>
        <v>0</v>
      </c>
      <c r="E33" s="11">
        <f>'PENJUALAN (QTY)'!D33 * C33</f>
        <v>0</v>
      </c>
      <c r="F33" s="11">
        <f>'PENJUALAN (QTY)'!E33 * C33</f>
        <v>0</v>
      </c>
      <c r="G33" s="11">
        <f>'PENJUALAN (QTY)'!F33 * C33</f>
        <v>0</v>
      </c>
      <c r="H33" s="11">
        <f>'PENJUALAN (QTY)'!G33 * C33</f>
        <v>0</v>
      </c>
      <c r="I33" s="11">
        <f>'PENJUALAN (QTY)'!H33 * C33</f>
        <v>0</v>
      </c>
      <c r="J33" s="11">
        <f>'PENJUALAN (QTY)'!I33 * C33</f>
        <v>0</v>
      </c>
      <c r="K33" s="11">
        <f>'PENJUALAN (QTY)'!J33 * C33</f>
        <v>0</v>
      </c>
      <c r="L33" s="11">
        <f>'PENJUALAN (QTY)'!K33 * C33</f>
        <v>0</v>
      </c>
      <c r="M33" s="11">
        <f>'PENJUALAN (QTY)'!L33 * C33</f>
        <v>0</v>
      </c>
      <c r="N33" s="11">
        <f>'PENJUALAN (QTY)'!M33 * C33</f>
        <v>0</v>
      </c>
      <c r="O33" s="11">
        <f>'PENJUALAN (QTY)'!N33 * C33</f>
        <v>0</v>
      </c>
      <c r="P33" s="11">
        <f>'PENJUALAN (QTY)'!O33 * C33</f>
        <v>0</v>
      </c>
      <c r="Q33" s="11">
        <f>'PENJUALAN (QTY)'!P33 * C33</f>
        <v>0</v>
      </c>
      <c r="R33" s="11">
        <f>'PENJUALAN (QTY)'!Q33 * C33</f>
        <v>0</v>
      </c>
      <c r="S33" s="11">
        <f>'PENJUALAN (QTY)'!R33 * C33</f>
        <v>0</v>
      </c>
      <c r="T33" s="11">
        <f>'PENJUALAN (QTY)'!S33 * C33</f>
        <v>0</v>
      </c>
      <c r="U33" s="11">
        <f>'PENJUALAN (QTY)'!T33 * C33</f>
        <v>0</v>
      </c>
      <c r="V33" s="11">
        <f>'PENJUALAN (QTY)'!U33 * C33</f>
        <v>0</v>
      </c>
      <c r="W33" s="11">
        <f>'PENJUALAN (QTY)'!V33 * C33</f>
        <v>0</v>
      </c>
      <c r="X33" s="11">
        <f>'PENJUALAN (QTY)'!W33 * C33</f>
        <v>0</v>
      </c>
      <c r="Y33" s="11">
        <f>'PENJUALAN (QTY)'!X33 * C33</f>
        <v>0</v>
      </c>
      <c r="Z33" s="11">
        <f>'PENJUALAN (QTY)'!Y33 * C33</f>
        <v>0</v>
      </c>
      <c r="AA33" s="11">
        <f>'PENJUALAN (QTY)'!Z33 * C33</f>
        <v>0</v>
      </c>
      <c r="AB33" s="11">
        <f>'PENJUALAN (QTY)'!AA33 * C33</f>
        <v>0</v>
      </c>
      <c r="AC33" s="11">
        <f>'PENJUALAN (QTY)'!AB33 * C33</f>
        <v>0</v>
      </c>
      <c r="AD33" s="11">
        <f>'PENJUALAN (QTY)'!AC33 * C33</f>
        <v>0</v>
      </c>
      <c r="AE33" s="11">
        <f>'PENJUALAN (QTY)'!AD33 * C33</f>
        <v>0</v>
      </c>
      <c r="AF33" s="11">
        <f>'PENJUALAN (QTY)'!AE33 * C33</f>
        <v>0</v>
      </c>
      <c r="AG33" s="11">
        <f>'PENJUALAN (QTY)'!AF33 * C33</f>
        <v>0</v>
      </c>
      <c r="AH33" s="11">
        <f>'PENJUALAN (QTY)'!AG33 * C33</f>
        <v>0</v>
      </c>
      <c r="AI33" s="70">
        <f t="shared" si="0"/>
        <v>0</v>
      </c>
    </row>
    <row r="34" spans="1:35" ht="30" customHeight="1" thickBot="1">
      <c r="A34" s="47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71">
        <f>SUM(AI3:AI33)</f>
        <v>1197000</v>
      </c>
    </row>
    <row r="35" spans="1:35" s="1" customFormat="1" ht="30" customHeight="1" thickTop="1" thickBot="1">
      <c r="A35" s="145" t="s">
        <v>231</v>
      </c>
      <c r="B35" s="146"/>
      <c r="C35" s="146"/>
      <c r="D35" s="74">
        <f t="shared" ref="D35:AH35" si="1">SUM(D3:D33)</f>
        <v>0</v>
      </c>
      <c r="E35" s="74">
        <f t="shared" si="1"/>
        <v>340000</v>
      </c>
      <c r="F35" s="74">
        <f t="shared" si="1"/>
        <v>128000</v>
      </c>
      <c r="G35" s="74">
        <f t="shared" si="1"/>
        <v>178000</v>
      </c>
      <c r="H35" s="74">
        <f t="shared" si="1"/>
        <v>0</v>
      </c>
      <c r="I35" s="74">
        <f t="shared" si="1"/>
        <v>0</v>
      </c>
      <c r="J35" s="74">
        <f t="shared" si="1"/>
        <v>71000</v>
      </c>
      <c r="K35" s="74">
        <f t="shared" si="1"/>
        <v>139000</v>
      </c>
      <c r="L35" s="74">
        <f t="shared" si="1"/>
        <v>137000</v>
      </c>
      <c r="M35" s="74">
        <f t="shared" si="1"/>
        <v>157000</v>
      </c>
      <c r="N35" s="74">
        <f t="shared" si="1"/>
        <v>0</v>
      </c>
      <c r="O35" s="74">
        <f t="shared" si="1"/>
        <v>47000</v>
      </c>
      <c r="P35" s="74">
        <f t="shared" si="1"/>
        <v>0</v>
      </c>
      <c r="Q35" s="74">
        <f t="shared" si="1"/>
        <v>0</v>
      </c>
      <c r="R35" s="74">
        <f t="shared" si="1"/>
        <v>0</v>
      </c>
      <c r="S35" s="74">
        <f t="shared" si="1"/>
        <v>0</v>
      </c>
      <c r="T35" s="74">
        <f t="shared" si="1"/>
        <v>0</v>
      </c>
      <c r="U35" s="74">
        <f t="shared" si="1"/>
        <v>0</v>
      </c>
      <c r="V35" s="74">
        <f t="shared" si="1"/>
        <v>0</v>
      </c>
      <c r="W35" s="74">
        <f t="shared" si="1"/>
        <v>0</v>
      </c>
      <c r="X35" s="74">
        <f t="shared" si="1"/>
        <v>0</v>
      </c>
      <c r="Y35" s="74">
        <f t="shared" si="1"/>
        <v>0</v>
      </c>
      <c r="Z35" s="74">
        <f t="shared" si="1"/>
        <v>0</v>
      </c>
      <c r="AA35" s="74">
        <f t="shared" si="1"/>
        <v>0</v>
      </c>
      <c r="AB35" s="74">
        <f t="shared" si="1"/>
        <v>0</v>
      </c>
      <c r="AC35" s="74">
        <f t="shared" si="1"/>
        <v>0</v>
      </c>
      <c r="AD35" s="74">
        <f t="shared" si="1"/>
        <v>0</v>
      </c>
      <c r="AE35" s="74">
        <f t="shared" si="1"/>
        <v>0</v>
      </c>
      <c r="AF35" s="74">
        <f t="shared" si="1"/>
        <v>0</v>
      </c>
      <c r="AG35" s="74">
        <f t="shared" si="1"/>
        <v>0</v>
      </c>
      <c r="AH35" s="74">
        <f t="shared" si="1"/>
        <v>0</v>
      </c>
      <c r="AI35" s="75"/>
    </row>
    <row r="36" spans="1:35" ht="15" thickTop="1"/>
  </sheetData>
  <mergeCells count="6">
    <mergeCell ref="A35:C35"/>
    <mergeCell ref="AI1:AI2"/>
    <mergeCell ref="A1:A2"/>
    <mergeCell ref="B1:B2"/>
    <mergeCell ref="D1:AH1"/>
    <mergeCell ref="C1:C2"/>
  </mergeCells>
  <conditionalFormatting sqref="D3:AH33">
    <cfRule type="expression" dxfId="1" priority="1">
      <formula>MOD(COLUMN(),2)=0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ED64-735B-45B4-AEF3-8BCEAC78A579}">
  <sheetPr codeName="Sheet7"/>
  <dimension ref="A1:K53"/>
  <sheetViews>
    <sheetView tabSelected="1" topLeftCell="A28" zoomScale="75" zoomScaleNormal="75" workbookViewId="0">
      <selection activeCell="D38" sqref="D38"/>
    </sheetView>
  </sheetViews>
  <sheetFormatPr defaultRowHeight="14.5"/>
  <cols>
    <col min="1" max="1" width="29.36328125" customWidth="1"/>
    <col min="2" max="2" width="31.81640625" customWidth="1"/>
    <col min="3" max="3" width="26.1796875" customWidth="1"/>
    <col min="4" max="4" width="21.36328125" customWidth="1"/>
    <col min="5" max="5" width="26.6328125" customWidth="1"/>
    <col min="6" max="6" width="33.6328125" customWidth="1"/>
    <col min="7" max="7" width="21.453125" customWidth="1"/>
    <col min="8" max="8" width="22.81640625" style="24" customWidth="1"/>
    <col min="9" max="9" width="26" style="24" customWidth="1"/>
    <col min="10" max="10" width="28.6328125" style="24" customWidth="1"/>
    <col min="11" max="11" width="19.81640625" style="19" customWidth="1"/>
  </cols>
  <sheetData>
    <row r="1" spans="1:11" s="34" customFormat="1" ht="30" customHeight="1">
      <c r="A1" s="158" t="s">
        <v>240</v>
      </c>
      <c r="B1" s="158"/>
      <c r="C1" s="1"/>
    </row>
    <row r="2" spans="1:11" ht="15" thickBot="1"/>
    <row r="3" spans="1:11" s="14" customFormat="1" ht="30" customHeight="1" thickTop="1">
      <c r="A3" s="51" t="s">
        <v>239</v>
      </c>
      <c r="B3" s="52" t="s">
        <v>9</v>
      </c>
    </row>
    <row r="4" spans="1:11" ht="14.5" customHeight="1">
      <c r="A4" s="47" t="s">
        <v>234</v>
      </c>
      <c r="B4" s="48">
        <f>'PENJUALAN (QTY)'!AH34</f>
        <v>161</v>
      </c>
    </row>
    <row r="5" spans="1:11">
      <c r="A5" s="47" t="s">
        <v>235</v>
      </c>
      <c r="B5" s="53">
        <f>'PENJUALAN (RP)'!AI34</f>
        <v>1197000</v>
      </c>
      <c r="C5" s="24"/>
    </row>
    <row r="6" spans="1:11">
      <c r="A6" s="47" t="s">
        <v>236</v>
      </c>
      <c r="B6" s="53">
        <f>SUMPRODUCT('PENJUALAN (QTY)'!AH3:AH33, 'MASTER PRODUK'!D2:D32)</f>
        <v>1067155.47</v>
      </c>
      <c r="C6" s="24"/>
    </row>
    <row r="7" spans="1:11">
      <c r="A7" s="47" t="s">
        <v>237</v>
      </c>
      <c r="B7" s="53">
        <f>B5 - B6</f>
        <v>129844.53000000003</v>
      </c>
      <c r="C7" s="24"/>
    </row>
    <row r="8" spans="1:11" ht="15" thickBot="1">
      <c r="A8" s="49" t="s">
        <v>238</v>
      </c>
      <c r="B8" s="50">
        <f>IFERROR(B7 / B5, 0)</f>
        <v>0.10847496240601506</v>
      </c>
      <c r="C8" s="17"/>
    </row>
    <row r="9" spans="1:11" ht="30" customHeight="1" thickTop="1"/>
    <row r="10" spans="1:11" s="8" customFormat="1" ht="30" customHeight="1">
      <c r="A10" s="159" t="s">
        <v>248</v>
      </c>
      <c r="B10" s="159"/>
      <c r="C10" s="159"/>
      <c r="H10" s="35"/>
      <c r="I10" s="35"/>
      <c r="J10" s="35"/>
      <c r="K10" s="18"/>
    </row>
    <row r="11" spans="1:11" ht="15" thickBot="1"/>
    <row r="12" spans="1:11" ht="30" customHeight="1" thickTop="1">
      <c r="A12" s="59" t="s">
        <v>249</v>
      </c>
      <c r="B12" s="60" t="s">
        <v>250</v>
      </c>
      <c r="C12" s="61" t="s">
        <v>251</v>
      </c>
    </row>
    <row r="13" spans="1:11">
      <c r="A13" s="54" t="s">
        <v>252</v>
      </c>
      <c r="B13" s="24">
        <f>SUM('PENJUALAN (RP)'!D35:J35)</f>
        <v>717000</v>
      </c>
      <c r="C13" s="55">
        <f>B13 - SUMPRODUCT('PENJUALAN (QTY)'!C3:I33 * 'MASTER PRODUK'!D2:D32)</f>
        <v>74660.780000000028</v>
      </c>
    </row>
    <row r="14" spans="1:11">
      <c r="A14" s="54" t="s">
        <v>253</v>
      </c>
      <c r="B14" s="24">
        <f>SUM('PENJUALAN (RP)'!K35:Q35)</f>
        <v>480000</v>
      </c>
      <c r="C14" s="55">
        <f>B14 - SUMPRODUCT('PENJUALAN (QTY)'!J3:P33 * 'MASTER PRODUK'!D2:D32)</f>
        <v>55183.750000000116</v>
      </c>
    </row>
    <row r="15" spans="1:11">
      <c r="A15" s="54" t="s">
        <v>254</v>
      </c>
      <c r="B15" s="24">
        <f>SUM('PENJUALAN (RP)'!R35:X35)</f>
        <v>0</v>
      </c>
      <c r="C15" s="55">
        <f>B15 - SUMPRODUCT('PENJUALAN (QTY)'!Q3:W33 * 'MASTER PRODUK'!D2:D32)</f>
        <v>0</v>
      </c>
    </row>
    <row r="16" spans="1:11" ht="15" thickBot="1">
      <c r="A16" s="56" t="s">
        <v>255</v>
      </c>
      <c r="B16" s="57">
        <f>SUM('PENJUALAN (RP)'!Y35:AH35)</f>
        <v>0</v>
      </c>
      <c r="C16" s="58">
        <f>B16 - SUMPRODUCT('PENJUALAN (QTY)'!X3:AG33 * 'MASTER PRODUK'!D2:D32)</f>
        <v>0</v>
      </c>
    </row>
    <row r="17" spans="1:11" ht="30" customHeight="1" thickTop="1"/>
    <row r="18" spans="1:11" ht="30" customHeight="1">
      <c r="A18" s="158" t="s">
        <v>241</v>
      </c>
      <c r="B18" s="158"/>
      <c r="C18" s="158"/>
      <c r="D18" s="158"/>
      <c r="E18" s="158"/>
      <c r="F18" s="158"/>
      <c r="G18" s="158"/>
    </row>
    <row r="19" spans="1:11" ht="15" thickBot="1">
      <c r="D19" s="24"/>
      <c r="E19" s="24"/>
      <c r="F19" s="24"/>
      <c r="G19" s="19"/>
    </row>
    <row r="20" spans="1:11" s="8" customFormat="1" ht="30" customHeight="1" thickTop="1" thickBot="1">
      <c r="A20" s="39" t="s">
        <v>112</v>
      </c>
      <c r="B20" s="39" t="s">
        <v>7</v>
      </c>
      <c r="C20" s="39" t="s">
        <v>242</v>
      </c>
      <c r="D20" s="40" t="s">
        <v>243</v>
      </c>
      <c r="E20" s="40" t="s">
        <v>244</v>
      </c>
      <c r="F20" s="40" t="s">
        <v>245</v>
      </c>
      <c r="G20" s="41" t="s">
        <v>246</v>
      </c>
      <c r="H20" s="35"/>
      <c r="I20" s="35"/>
      <c r="J20" s="35"/>
      <c r="K20" s="18"/>
    </row>
    <row r="21" spans="1:11" ht="15" thickTop="1">
      <c r="A21" s="45" t="s">
        <v>363</v>
      </c>
      <c r="B21" s="13" t="str">
        <f>IFERROR(INDEX(tbl_Produk[NAMA PRODUK], MATCH(A21, tbl_Produk[KODE PRODUK], 0)), "")</f>
        <v>AIR MINERAL 600 ML</v>
      </c>
      <c r="C21" s="9">
        <f>'PENJUALAN (QTY)'!AH3</f>
        <v>0</v>
      </c>
      <c r="D21" s="26">
        <f>'PENJUALAN (RP)'!AI3</f>
        <v>0</v>
      </c>
      <c r="E21" s="26">
        <f>IF($A21="","",IFERROR(SUMIF('PENJUALAN (QTY)'!$A$3:$A$500,$A21,'PENJUALAN (QTY)'!$AH$3:$AH$500)*INDEX(tbl_Produk[HPP PER UNIT],MATCH($A21,tbl_Produk[KODE PRODUK],0)),0))</f>
        <v>0</v>
      </c>
      <c r="F21" s="26">
        <f t="shared" ref="F21:F51" si="0">D21-E21</f>
        <v>0</v>
      </c>
      <c r="G21" s="37">
        <f t="shared" ref="G21:G52" si="1">IFERROR(F21 / D21, 0)</f>
        <v>0</v>
      </c>
    </row>
    <row r="22" spans="1:11">
      <c r="A22" s="45" t="s">
        <v>179</v>
      </c>
      <c r="B22" s="13" t="str">
        <f>IFERROR(INDEX(tbl_Produk[NAMA PRODUK], MATCH(A22, tbl_Produk[KODE PRODUK], 0)), "")</f>
        <v>AYAM CRISPY ORIGINAL</v>
      </c>
      <c r="C22" s="9">
        <f>'PENJUALAN (QTY)'!AH4</f>
        <v>98</v>
      </c>
      <c r="D22" s="26">
        <f>'PENJUALAN (RP)'!AI4</f>
        <v>588000</v>
      </c>
      <c r="E22" s="26">
        <f>IF($A22="","",IFERROR(SUMIF('PENJUALAN (QTY)'!$A$3:$A$500,$A22,'PENJUALAN (QTY)'!$AH$3:$AH$500)*INDEX(tbl_Produk[HPP PER UNIT],MATCH($A22,tbl_Produk[KODE PRODUK],0)),0))</f>
        <v>553499.1</v>
      </c>
      <c r="F22" s="26">
        <f t="shared" si="0"/>
        <v>34500.900000000023</v>
      </c>
      <c r="G22" s="37">
        <f t="shared" si="1"/>
        <v>5.867500000000004E-2</v>
      </c>
    </row>
    <row r="23" spans="1:11">
      <c r="A23" s="45" t="s">
        <v>180</v>
      </c>
      <c r="B23" s="13" t="str">
        <f>IFERROR(INDEX(tbl_Produk[NAMA PRODUK], MATCH(A23, tbl_Produk[KODE PRODUK], 0)), "")</f>
        <v>AYAM CRISPY ORIGINAL + NASI</v>
      </c>
      <c r="C23" s="9">
        <f>'PENJUALAN (QTY)'!AH5</f>
        <v>11</v>
      </c>
      <c r="D23" s="26">
        <f>'PENJUALAN (RP)'!AI5</f>
        <v>99000</v>
      </c>
      <c r="E23" s="26">
        <f>IF($A23="","",IFERROR(SUMIF('PENJUALAN (QTY)'!$A$3:$A$500,$A23,'PENJUALAN (QTY)'!$AH$3:$AH$500)*INDEX(tbl_Produk[HPP PER UNIT],MATCH($A23,tbl_Produk[KODE PRODUK],0)),0))</f>
        <v>81004.87999999999</v>
      </c>
      <c r="F23" s="26">
        <f t="shared" si="0"/>
        <v>17995.12000000001</v>
      </c>
      <c r="G23" s="37">
        <f t="shared" si="1"/>
        <v>0.18176888888888898</v>
      </c>
    </row>
    <row r="24" spans="1:11">
      <c r="A24" s="46" t="s">
        <v>181</v>
      </c>
      <c r="B24" s="13" t="str">
        <f>IFERROR(INDEX(tbl_Produk[NAMA PRODUK], MATCH(A24, tbl_Produk[KODE PRODUK], 0)), "")</f>
        <v>AYAM GEPREK S. BAWANG</v>
      </c>
      <c r="C24" s="9">
        <f>'PENJUALAN (QTY)'!AH6</f>
        <v>14</v>
      </c>
      <c r="D24" s="26">
        <f>'PENJUALAN (RP)'!AI6</f>
        <v>126000</v>
      </c>
      <c r="E24" s="26">
        <f>IF($A24="","",IFERROR(SUMIF('PENJUALAN (QTY)'!$A$3:$A$500,$A24,'PENJUALAN (QTY)'!$AH$3:$AH$500)*INDEX(tbl_Produk[HPP PER UNIT],MATCH($A24,tbl_Produk[KODE PRODUK],0)),0))</f>
        <v>111736.23999999999</v>
      </c>
      <c r="F24" s="26">
        <f t="shared" si="0"/>
        <v>14263.760000000009</v>
      </c>
      <c r="G24" s="37">
        <f t="shared" si="1"/>
        <v>0.11320444444444452</v>
      </c>
    </row>
    <row r="25" spans="1:11">
      <c r="A25" s="46" t="s">
        <v>182</v>
      </c>
      <c r="B25" s="13" t="str">
        <f>IFERROR(INDEX(tbl_Produk[NAMA PRODUK], MATCH(A25, tbl_Produk[KODE PRODUK], 0)), "")</f>
        <v>AYAM GEPREK S. BAWANG + NASI</v>
      </c>
      <c r="C25" s="9">
        <f>'PENJUALAN (QTY)'!AH7</f>
        <v>26</v>
      </c>
      <c r="D25" s="26">
        <f>'PENJUALAN (RP)'!AI7</f>
        <v>286000</v>
      </c>
      <c r="E25" s="26">
        <f>IF($A25="","",IFERROR(SUMIF('PENJUALAN (QTY)'!$A$3:$A$500,$A25,'PENJUALAN (QTY)'!$AH$3:$AH$500)*INDEX(tbl_Produk[HPP PER UNIT],MATCH($A25,tbl_Produk[KODE PRODUK],0)),0))</f>
        <v>243292.91999999995</v>
      </c>
      <c r="F25" s="26">
        <f t="shared" si="0"/>
        <v>42707.080000000045</v>
      </c>
      <c r="G25" s="37">
        <f t="shared" si="1"/>
        <v>0.14932545454545471</v>
      </c>
    </row>
    <row r="26" spans="1:11">
      <c r="A26" s="46" t="s">
        <v>183</v>
      </c>
      <c r="B26" s="13" t="str">
        <f>IFERROR(INDEX(tbl_Produk[NAMA PRODUK], MATCH(A26, tbl_Produk[KODE PRODUK], 0)), "")</f>
        <v>AYAM GEPREK S. IJO</v>
      </c>
      <c r="C26" s="9">
        <f>'PENJUALAN (QTY)'!AH8</f>
        <v>0</v>
      </c>
      <c r="D26" s="26">
        <f>'PENJUALAN (RP)'!AI8</f>
        <v>0</v>
      </c>
      <c r="E26" s="26">
        <f>IF($A26="","",IFERROR(SUMIF('PENJUALAN (QTY)'!$A$3:$A$500,$A26,'PENJUALAN (QTY)'!$AH$3:$AH$500)*INDEX(tbl_Produk[HPP PER UNIT],MATCH($A26,tbl_Produk[KODE PRODUK],0)),0))</f>
        <v>0</v>
      </c>
      <c r="F26" s="26">
        <f t="shared" si="0"/>
        <v>0</v>
      </c>
      <c r="G26" s="37">
        <f t="shared" si="1"/>
        <v>0</v>
      </c>
    </row>
    <row r="27" spans="1:11">
      <c r="A27" s="46" t="s">
        <v>184</v>
      </c>
      <c r="B27" s="13" t="str">
        <f>IFERROR(INDEX(tbl_Produk[NAMA PRODUK], MATCH(A27, tbl_Produk[KODE PRODUK], 0)), "")</f>
        <v>AYAM GEPREK S. IJO + NASI</v>
      </c>
      <c r="C27" s="9">
        <f>'PENJUALAN (QTY)'!AH9</f>
        <v>0</v>
      </c>
      <c r="D27" s="26">
        <f>'PENJUALAN (RP)'!AI9</f>
        <v>0</v>
      </c>
      <c r="E27" s="26">
        <f>IF($A27="","",IFERROR(SUMIF('PENJUALAN (QTY)'!$A$3:$A$500,$A27,'PENJUALAN (QTY)'!$AH$3:$AH$500)*INDEX(tbl_Produk[HPP PER UNIT],MATCH($A27,tbl_Produk[KODE PRODUK],0)),0))</f>
        <v>0</v>
      </c>
      <c r="F27" s="26">
        <f t="shared" si="0"/>
        <v>0</v>
      </c>
      <c r="G27" s="37">
        <f t="shared" si="1"/>
        <v>0</v>
      </c>
    </row>
    <row r="28" spans="1:11">
      <c r="A28" s="46" t="s">
        <v>185</v>
      </c>
      <c r="B28" s="13" t="str">
        <f>IFERROR(INDEX(tbl_Produk[NAMA PRODUK], MATCH(A28, tbl_Produk[KODE PRODUK], 0)), "")</f>
        <v>AYAM GEPREK S. MATAH</v>
      </c>
      <c r="C28" s="9">
        <f>'PENJUALAN (QTY)'!AH10</f>
        <v>0</v>
      </c>
      <c r="D28" s="26">
        <f>'PENJUALAN (RP)'!AI10</f>
        <v>0</v>
      </c>
      <c r="E28" s="26">
        <f>IF($A28="","",IFERROR(SUMIF('PENJUALAN (QTY)'!$A$3:$A$500,$A28,'PENJUALAN (QTY)'!$AH$3:$AH$500)*INDEX(tbl_Produk[HPP PER UNIT],MATCH($A28,tbl_Produk[KODE PRODUK],0)),0))</f>
        <v>0</v>
      </c>
      <c r="F28" s="26">
        <f t="shared" si="0"/>
        <v>0</v>
      </c>
      <c r="G28" s="37">
        <f t="shared" si="1"/>
        <v>0</v>
      </c>
    </row>
    <row r="29" spans="1:11">
      <c r="A29" s="46" t="s">
        <v>186</v>
      </c>
      <c r="B29" s="13" t="str">
        <f>IFERROR(INDEX(tbl_Produk[NAMA PRODUK], MATCH(A29, tbl_Produk[KODE PRODUK], 0)), "")</f>
        <v>AYAM GEPREK S. MATAH + NASI</v>
      </c>
      <c r="C29" s="9">
        <f>'PENJUALAN (QTY)'!AH11</f>
        <v>0</v>
      </c>
      <c r="D29" s="26">
        <f>'PENJUALAN (RP)'!AI11</f>
        <v>0</v>
      </c>
      <c r="E29" s="26">
        <f>IF($A29="","",IFERROR(SUMIF('PENJUALAN (QTY)'!$A$3:$A$500,$A29,'PENJUALAN (QTY)'!$AH$3:$AH$500)*INDEX(tbl_Produk[HPP PER UNIT],MATCH($A29,tbl_Produk[KODE PRODUK],0)),0))</f>
        <v>0</v>
      </c>
      <c r="F29" s="26">
        <f t="shared" si="0"/>
        <v>0</v>
      </c>
      <c r="G29" s="37">
        <f t="shared" si="1"/>
        <v>0</v>
      </c>
    </row>
    <row r="30" spans="1:11">
      <c r="A30" s="46" t="s">
        <v>187</v>
      </c>
      <c r="B30" s="13" t="str">
        <f>IFERROR(INDEX(tbl_Produk[NAMA PRODUK], MATCH(A30, tbl_Produk[KODE PRODUK], 0)), "")</f>
        <v>AYAM SAUS BBQ</v>
      </c>
      <c r="C30" s="9">
        <f>'PENJUALAN (QTY)'!AH12</f>
        <v>5</v>
      </c>
      <c r="D30" s="26">
        <f>'PENJUALAN (RP)'!AI12</f>
        <v>45000</v>
      </c>
      <c r="E30" s="26">
        <f>IF($A30="","",IFERROR(SUMIF('PENJUALAN (QTY)'!$A$3:$A$500,$A30,'PENJUALAN (QTY)'!$AH$3:$AH$500)*INDEX(tbl_Produk[HPP PER UNIT],MATCH($A30,tbl_Produk[KODE PRODUK],0)),0))</f>
        <v>36198.100000000006</v>
      </c>
      <c r="F30" s="26">
        <f t="shared" si="0"/>
        <v>8801.8999999999942</v>
      </c>
      <c r="G30" s="37">
        <f t="shared" si="1"/>
        <v>0.19559777777777765</v>
      </c>
    </row>
    <row r="31" spans="1:11">
      <c r="A31" s="46" t="s">
        <v>188</v>
      </c>
      <c r="B31" s="13" t="str">
        <f>IFERROR(INDEX(tbl_Produk[NAMA PRODUK], MATCH(A31, tbl_Produk[KODE PRODUK], 0)), "")</f>
        <v>AYAM SAUS BBQ + NASI</v>
      </c>
      <c r="C31" s="9">
        <f>'PENJUALAN (QTY)'!AH13</f>
        <v>3</v>
      </c>
      <c r="D31" s="26">
        <f>'PENJUALAN (RP)'!AI13</f>
        <v>33000</v>
      </c>
      <c r="E31" s="26">
        <f>IF($A31="","",IFERROR(SUMIF('PENJUALAN (QTY)'!$A$3:$A$500,$A31,'PENJUALAN (QTY)'!$AH$3:$AH$500)*INDEX(tbl_Produk[HPP PER UNIT],MATCH($A31,tbl_Produk[KODE PRODUK],0)),0))</f>
        <v>25847.640000000003</v>
      </c>
      <c r="F31" s="26">
        <f t="shared" si="0"/>
        <v>7152.3599999999969</v>
      </c>
      <c r="G31" s="37">
        <f t="shared" si="1"/>
        <v>0.21673818181818172</v>
      </c>
    </row>
    <row r="32" spans="1:11">
      <c r="A32" s="46" t="s">
        <v>189</v>
      </c>
      <c r="B32" s="13" t="str">
        <f>IFERROR(INDEX(tbl_Produk[NAMA PRODUK], MATCH(A32, tbl_Produk[KODE PRODUK], 0)), "")</f>
        <v>AYAM SAUS BROCHEESE</v>
      </c>
      <c r="C32" s="9">
        <f>'PENJUALAN (QTY)'!AH14</f>
        <v>0</v>
      </c>
      <c r="D32" s="26">
        <f>'PENJUALAN (RP)'!AI14</f>
        <v>0</v>
      </c>
      <c r="E32" s="26">
        <f>IF($A32="","",IFERROR(SUMIF('PENJUALAN (QTY)'!$A$3:$A$500,$A32,'PENJUALAN (QTY)'!$AH$3:$AH$500)*INDEX(tbl_Produk[HPP PER UNIT],MATCH($A32,tbl_Produk[KODE PRODUK],0)),0))</f>
        <v>0</v>
      </c>
      <c r="F32" s="26">
        <f t="shared" si="0"/>
        <v>0</v>
      </c>
      <c r="G32" s="37">
        <f t="shared" si="1"/>
        <v>0</v>
      </c>
    </row>
    <row r="33" spans="1:7">
      <c r="A33" s="46" t="s">
        <v>190</v>
      </c>
      <c r="B33" s="13" t="str">
        <f>IFERROR(INDEX(tbl_Produk[NAMA PRODUK], MATCH(A33, tbl_Produk[KODE PRODUK], 0)), "")</f>
        <v>AYAM SAUS BROCHEESE + NASI</v>
      </c>
      <c r="C33" s="9">
        <f>'PENJUALAN (QTY)'!AH15</f>
        <v>1</v>
      </c>
      <c r="D33" s="26">
        <f>'PENJUALAN (RP)'!AI15</f>
        <v>11000</v>
      </c>
      <c r="E33" s="26">
        <f>IF($A33="","",IFERROR(SUMIF('PENJUALAN (QTY)'!$A$3:$A$500,$A33,'PENJUALAN (QTY)'!$AH$3:$AH$500)*INDEX(tbl_Produk[HPP PER UNIT],MATCH($A33,tbl_Produk[KODE PRODUK],0)),0))</f>
        <v>8947.5799999999981</v>
      </c>
      <c r="F33" s="26">
        <f t="shared" si="0"/>
        <v>2052.4200000000019</v>
      </c>
      <c r="G33" s="37">
        <f t="shared" si="1"/>
        <v>0.18658363636363653</v>
      </c>
    </row>
    <row r="34" spans="1:7">
      <c r="A34" s="46" t="s">
        <v>191</v>
      </c>
      <c r="B34" s="13" t="str">
        <f>IFERROR(INDEX(tbl_Produk[NAMA PRODUK], MATCH(A34, tbl_Produk[KODE PRODUK], 0)), "")</f>
        <v>AYAM SAUS CREAMY CHEESE</v>
      </c>
      <c r="C34" s="9">
        <f>'PENJUALAN (QTY)'!AH16</f>
        <v>0</v>
      </c>
      <c r="D34" s="26">
        <f>'PENJUALAN (RP)'!AI16</f>
        <v>0</v>
      </c>
      <c r="E34" s="26">
        <f>IF($A34="","",IFERROR(SUMIF('PENJUALAN (QTY)'!$A$3:$A$500,$A34,'PENJUALAN (QTY)'!$AH$3:$AH$500)*INDEX(tbl_Produk[HPP PER UNIT],MATCH($A34,tbl_Produk[KODE PRODUK],0)),0))</f>
        <v>0</v>
      </c>
      <c r="F34" s="26">
        <f t="shared" si="0"/>
        <v>0</v>
      </c>
      <c r="G34" s="37">
        <f t="shared" si="1"/>
        <v>0</v>
      </c>
    </row>
    <row r="35" spans="1:7">
      <c r="A35" s="46" t="s">
        <v>192</v>
      </c>
      <c r="B35" s="13" t="str">
        <f>IFERROR(INDEX(tbl_Produk[NAMA PRODUK], MATCH(A35, tbl_Produk[KODE PRODUK], 0)), "")</f>
        <v>AYAM SAUS CREAMY CHEESE + NASI</v>
      </c>
      <c r="C35" s="9">
        <f>'PENJUALAN (QTY)'!AH17</f>
        <v>0</v>
      </c>
      <c r="D35" s="26">
        <f>'PENJUALAN (RP)'!AI17</f>
        <v>0</v>
      </c>
      <c r="E35" s="26">
        <f>IF($A35="","",IFERROR(SUMIF('PENJUALAN (QTY)'!$A$3:$A$500,$A35,'PENJUALAN (QTY)'!$AH$3:$AH$500)*INDEX(tbl_Produk[HPP PER UNIT],MATCH($A35,tbl_Produk[KODE PRODUK],0)),0))</f>
        <v>0</v>
      </c>
      <c r="F35" s="26">
        <f t="shared" si="0"/>
        <v>0</v>
      </c>
      <c r="G35" s="37">
        <f t="shared" si="1"/>
        <v>0</v>
      </c>
    </row>
    <row r="36" spans="1:7">
      <c r="A36" s="46" t="s">
        <v>193</v>
      </c>
      <c r="B36" s="13" t="str">
        <f>IFERROR(INDEX(tbl_Produk[NAMA PRODUK], MATCH(A36, tbl_Produk[KODE PRODUK], 0)), "")</f>
        <v>ES LEMON TEA</v>
      </c>
      <c r="C36" s="9">
        <f>'PENJUALAN (QTY)'!AH18</f>
        <v>0</v>
      </c>
      <c r="D36" s="26">
        <f>'PENJUALAN (RP)'!AI18</f>
        <v>0</v>
      </c>
      <c r="E36" s="26">
        <f>IF($A36="","",IFERROR(SUMIF('PENJUALAN (QTY)'!$A$3:$A$500,$A36,'PENJUALAN (QTY)'!$AH$3:$AH$500)*INDEX(tbl_Produk[HPP PER UNIT],MATCH($A36,tbl_Produk[KODE PRODUK],0)),0))</f>
        <v>0</v>
      </c>
      <c r="F36" s="26">
        <f t="shared" si="0"/>
        <v>0</v>
      </c>
      <c r="G36" s="37">
        <f t="shared" si="1"/>
        <v>0</v>
      </c>
    </row>
    <row r="37" spans="1:7">
      <c r="A37" s="46" t="s">
        <v>194</v>
      </c>
      <c r="B37" s="13" t="str">
        <f>IFERROR(INDEX(tbl_Produk[NAMA PRODUK], MATCH(A37, tbl_Produk[KODE PRODUK], 0)), "")</f>
        <v>ES MILO</v>
      </c>
      <c r="C37" s="9">
        <f>'PENJUALAN (QTY)'!AH19</f>
        <v>0</v>
      </c>
      <c r="D37" s="26">
        <f>'PENJUALAN (RP)'!AI19</f>
        <v>0</v>
      </c>
      <c r="E37" s="26">
        <f>IF($A37="","",IFERROR(SUMIF('PENJUALAN (QTY)'!$A$3:$A$500,$A37,'PENJUALAN (QTY)'!$AH$3:$AH$500)*INDEX(tbl_Produk[HPP PER UNIT],MATCH($A37,tbl_Produk[KODE PRODUK],0)),0))</f>
        <v>0</v>
      </c>
      <c r="F37" s="26">
        <f t="shared" si="0"/>
        <v>0</v>
      </c>
      <c r="G37" s="37">
        <f t="shared" si="1"/>
        <v>0</v>
      </c>
    </row>
    <row r="38" spans="1:7">
      <c r="A38" s="46" t="s">
        <v>195</v>
      </c>
      <c r="B38" s="13" t="str">
        <f>IFERROR(INDEX(tbl_Produk[NAMA PRODUK], MATCH(A38, tbl_Produk[KODE PRODUK], 0)), "")</f>
        <v>ES TEA</v>
      </c>
      <c r="C38" s="9">
        <f>'PENJUALAN (QTY)'!AH20</f>
        <v>0</v>
      </c>
      <c r="D38" s="26">
        <f>'PENJUALAN (RP)'!AI20</f>
        <v>0</v>
      </c>
      <c r="E38" s="26">
        <f>IF($A38="","",IFERROR(SUMIF('PENJUALAN (QTY)'!$A$3:$A$500,$A38,'PENJUALAN (QTY)'!$AH$3:$AH$500)*INDEX(tbl_Produk[HPP PER UNIT],MATCH($A38,tbl_Produk[KODE PRODUK],0)),0))</f>
        <v>0</v>
      </c>
      <c r="F38" s="26">
        <f t="shared" si="0"/>
        <v>0</v>
      </c>
      <c r="G38" s="37">
        <f t="shared" si="1"/>
        <v>0</v>
      </c>
    </row>
    <row r="39" spans="1:7">
      <c r="A39" s="46" t="s">
        <v>196</v>
      </c>
      <c r="B39" s="13" t="str">
        <f>IFERROR(INDEX(tbl_Produk[NAMA PRODUK], MATCH(A39, tbl_Produk[KODE PRODUK], 0)), "")</f>
        <v>FRENCH FRIES</v>
      </c>
      <c r="C39" s="9">
        <f>'PENJUALAN (QTY)'!AH21</f>
        <v>0</v>
      </c>
      <c r="D39" s="26">
        <f>'PENJUALAN (RP)'!AI21</f>
        <v>0</v>
      </c>
      <c r="E39" s="26">
        <f>IF($A39="","",IFERROR(SUMIF('PENJUALAN (QTY)'!$A$3:$A$500,$A39,'PENJUALAN (QTY)'!$AH$3:$AH$500)*INDEX(tbl_Produk[HPP PER UNIT],MATCH($A39,tbl_Produk[KODE PRODUK],0)),0))</f>
        <v>0</v>
      </c>
      <c r="F39" s="26">
        <f t="shared" si="0"/>
        <v>0</v>
      </c>
      <c r="G39" s="37">
        <f t="shared" si="1"/>
        <v>0</v>
      </c>
    </row>
    <row r="40" spans="1:7">
      <c r="A40" s="46" t="s">
        <v>197</v>
      </c>
      <c r="B40" s="13" t="str">
        <f>IFERROR(INDEX(tbl_Produk[NAMA PRODUK], MATCH(A40, tbl_Produk[KODE PRODUK], 0)), "")</f>
        <v>JAMUR CRISPY</v>
      </c>
      <c r="C40" s="9">
        <f>'PENJUALAN (QTY)'!AH22</f>
        <v>0</v>
      </c>
      <c r="D40" s="26">
        <f>'PENJUALAN (RP)'!AI22</f>
        <v>0</v>
      </c>
      <c r="E40" s="26">
        <f>IF($A40="","",IFERROR(SUMIF('PENJUALAN (QTY)'!$A$3:$A$500,$A40,'PENJUALAN (QTY)'!$AH$3:$AH$500)*INDEX(tbl_Produk[HPP PER UNIT],MATCH($A40,tbl_Produk[KODE PRODUK],0)),0))</f>
        <v>0</v>
      </c>
      <c r="F40" s="26">
        <f t="shared" si="0"/>
        <v>0</v>
      </c>
      <c r="G40" s="37">
        <f t="shared" si="1"/>
        <v>0</v>
      </c>
    </row>
    <row r="41" spans="1:7">
      <c r="A41" s="46" t="s">
        <v>198</v>
      </c>
      <c r="B41" s="13" t="str">
        <f>IFERROR(INDEX(tbl_Produk[NAMA PRODUK], MATCH(A41, tbl_Produk[KODE PRODUK], 0)), "")</f>
        <v>MILKSHAKE</v>
      </c>
      <c r="C41" s="9">
        <f>'PENJUALAN (QTY)'!AH23</f>
        <v>0</v>
      </c>
      <c r="D41" s="26">
        <f>'PENJUALAN (RP)'!AI23</f>
        <v>0</v>
      </c>
      <c r="E41" s="26">
        <f>IF($A41="","",IFERROR(SUMIF('PENJUALAN (QTY)'!$A$3:$A$500,$A41,'PENJUALAN (QTY)'!$AH$3:$AH$500)*INDEX(tbl_Produk[HPP PER UNIT],MATCH($A41,tbl_Produk[KODE PRODUK],0)),0))</f>
        <v>0</v>
      </c>
      <c r="F41" s="26">
        <f t="shared" si="0"/>
        <v>0</v>
      </c>
      <c r="G41" s="37">
        <f t="shared" si="1"/>
        <v>0</v>
      </c>
    </row>
    <row r="42" spans="1:7">
      <c r="A42" s="46" t="s">
        <v>199</v>
      </c>
      <c r="B42" s="13" t="str">
        <f>IFERROR(INDEX(tbl_Produk[NAMA PRODUK], MATCH(A42, tbl_Produk[KODE PRODUK], 0)), "")</f>
        <v>NASI PUTIH</v>
      </c>
      <c r="C42" s="9">
        <f>'PENJUALAN (QTY)'!AH24</f>
        <v>0</v>
      </c>
      <c r="D42" s="26">
        <f>'PENJUALAN (RP)'!AI24</f>
        <v>0</v>
      </c>
      <c r="E42" s="26">
        <f>IF($A42="","",IFERROR(SUMIF('PENJUALAN (QTY)'!$A$3:$A$500,$A42,'PENJUALAN (QTY)'!$AH$3:$AH$500)*INDEX(tbl_Produk[HPP PER UNIT],MATCH($A42,tbl_Produk[KODE PRODUK],0)),0))</f>
        <v>0</v>
      </c>
      <c r="F42" s="26">
        <f t="shared" si="0"/>
        <v>0</v>
      </c>
      <c r="G42" s="37">
        <f t="shared" si="1"/>
        <v>0</v>
      </c>
    </row>
    <row r="43" spans="1:7">
      <c r="A43" s="46" t="s">
        <v>200</v>
      </c>
      <c r="B43" s="13" t="str">
        <f>IFERROR(INDEX(tbl_Produk[NAMA PRODUK], MATCH(A43, tbl_Produk[KODE PRODUK], 0)), "")</f>
        <v>ONION RINGS</v>
      </c>
      <c r="C43" s="9">
        <f>'PENJUALAN (QTY)'!AH25</f>
        <v>0</v>
      </c>
      <c r="D43" s="26">
        <f>'PENJUALAN (RP)'!AI25</f>
        <v>0</v>
      </c>
      <c r="E43" s="26">
        <f>IF($A43="","",IFERROR(SUMIF('PENJUALAN (QTY)'!$A$3:$A$500,$A43,'PENJUALAN (QTY)'!$AH$3:$AH$500)*INDEX(tbl_Produk[HPP PER UNIT],MATCH($A43,tbl_Produk[KODE PRODUK],0)),0))</f>
        <v>0</v>
      </c>
      <c r="F43" s="26">
        <f t="shared" si="0"/>
        <v>0</v>
      </c>
      <c r="G43" s="37">
        <f t="shared" si="1"/>
        <v>0</v>
      </c>
    </row>
    <row r="44" spans="1:7">
      <c r="A44" s="46" t="s">
        <v>201</v>
      </c>
      <c r="B44" s="13" t="str">
        <f>IFERROR(INDEX(tbl_Produk[NAMA PRODUK], MATCH(A44, tbl_Produk[KODE PRODUK], 0)), "")</f>
        <v>SAMBAL BAWANG</v>
      </c>
      <c r="C44" s="9">
        <f>'PENJUALAN (QTY)'!AH26</f>
        <v>3</v>
      </c>
      <c r="D44" s="26">
        <f>'PENJUALAN (RP)'!AI26</f>
        <v>9000</v>
      </c>
      <c r="E44" s="26">
        <f>IF($A44="","",IFERROR(SUMIF('PENJUALAN (QTY)'!$A$3:$A$500,$A44,'PENJUALAN (QTY)'!$AH$3:$AH$500)*INDEX(tbl_Produk[HPP PER UNIT],MATCH($A44,tbl_Produk[KODE PRODUK],0)),0))</f>
        <v>6629.01</v>
      </c>
      <c r="F44" s="26">
        <f t="shared" si="0"/>
        <v>2370.9899999999998</v>
      </c>
      <c r="G44" s="37">
        <f t="shared" si="1"/>
        <v>0.26344333333333331</v>
      </c>
    </row>
    <row r="45" spans="1:7">
      <c r="A45" s="46" t="s">
        <v>202</v>
      </c>
      <c r="B45" s="13" t="str">
        <f>IFERROR(INDEX(tbl_Produk[NAMA PRODUK], MATCH(A45, tbl_Produk[KODE PRODUK], 0)), "")</f>
        <v>SAMBAL IJO</v>
      </c>
      <c r="C45" s="9">
        <f>'PENJUALAN (QTY)'!AH27</f>
        <v>0</v>
      </c>
      <c r="D45" s="26">
        <f>'PENJUALAN (RP)'!AI27</f>
        <v>0</v>
      </c>
      <c r="E45" s="26">
        <f>IF($A45="","",IFERROR(SUMIF('PENJUALAN (QTY)'!$A$3:$A$500,$A45,'PENJUALAN (QTY)'!$AH$3:$AH$500)*INDEX(tbl_Produk[HPP PER UNIT],MATCH($A45,tbl_Produk[KODE PRODUK],0)),0))</f>
        <v>0</v>
      </c>
      <c r="F45" s="26">
        <f t="shared" si="0"/>
        <v>0</v>
      </c>
      <c r="G45" s="37">
        <f t="shared" si="1"/>
        <v>0</v>
      </c>
    </row>
    <row r="46" spans="1:7">
      <c r="A46" s="46" t="s">
        <v>203</v>
      </c>
      <c r="B46" s="13" t="str">
        <f>IFERROR(INDEX(tbl_Produk[NAMA PRODUK], MATCH(A46, tbl_Produk[KODE PRODUK], 0)), "")</f>
        <v>SAMBAL MATAH</v>
      </c>
      <c r="C46" s="9">
        <f>'PENJUALAN (QTY)'!AH28</f>
        <v>0</v>
      </c>
      <c r="D46" s="26">
        <f>'PENJUALAN (RP)'!AI28</f>
        <v>0</v>
      </c>
      <c r="E46" s="26">
        <f>IF($A46="","",IFERROR(SUMIF('PENJUALAN (QTY)'!$A$3:$A$500,$A46,'PENJUALAN (QTY)'!$AH$3:$AH$500)*INDEX(tbl_Produk[HPP PER UNIT],MATCH($A46,tbl_Produk[KODE PRODUK],0)),0))</f>
        <v>0</v>
      </c>
      <c r="F46" s="26">
        <f t="shared" si="0"/>
        <v>0</v>
      </c>
      <c r="G46" s="37">
        <f t="shared" si="1"/>
        <v>0</v>
      </c>
    </row>
    <row r="47" spans="1:7">
      <c r="A47" s="46" t="s">
        <v>204</v>
      </c>
      <c r="B47" s="13" t="str">
        <f>IFERROR(INDEX(tbl_Produk[NAMA PRODUK], MATCH(A47, tbl_Produk[KODE PRODUK], 0)), "")</f>
        <v>SAUS BBQ</v>
      </c>
      <c r="C47" s="9">
        <f>'PENJUALAN (QTY)'!AH29</f>
        <v>0</v>
      </c>
      <c r="D47" s="26">
        <f>'PENJUALAN (RP)'!AI29</f>
        <v>0</v>
      </c>
      <c r="E47" s="26">
        <f>IF($A47="","",IFERROR(SUMIF('PENJUALAN (QTY)'!$A$3:$A$500,$A47,'PENJUALAN (QTY)'!$AH$3:$AH$500)*INDEX(tbl_Produk[HPP PER UNIT],MATCH($A47,tbl_Produk[KODE PRODUK],0)),0))</f>
        <v>0</v>
      </c>
      <c r="F47" s="26">
        <f t="shared" si="0"/>
        <v>0</v>
      </c>
      <c r="G47" s="37">
        <f t="shared" si="1"/>
        <v>0</v>
      </c>
    </row>
    <row r="48" spans="1:7">
      <c r="A48" s="46" t="s">
        <v>205</v>
      </c>
      <c r="B48" s="13" t="str">
        <f>IFERROR(INDEX(tbl_Produk[NAMA PRODUK], MATCH(A48, tbl_Produk[KODE PRODUK], 0)), "")</f>
        <v>SAUS BROCHEESE</v>
      </c>
      <c r="C48" s="9">
        <f>'PENJUALAN (QTY)'!AH30</f>
        <v>0</v>
      </c>
      <c r="D48" s="26">
        <f>'PENJUALAN (RP)'!AI30</f>
        <v>0</v>
      </c>
      <c r="E48" s="26">
        <f>IF($A48="","",IFERROR(SUMIF('PENJUALAN (QTY)'!$A$3:$A$500,$A48,'PENJUALAN (QTY)'!$AH$3:$AH$500)*INDEX(tbl_Produk[HPP PER UNIT],MATCH($A48,tbl_Produk[KODE PRODUK],0)),0))</f>
        <v>0</v>
      </c>
      <c r="F48" s="26">
        <f t="shared" si="0"/>
        <v>0</v>
      </c>
      <c r="G48" s="37">
        <f t="shared" si="1"/>
        <v>0</v>
      </c>
    </row>
    <row r="49" spans="1:11">
      <c r="A49" s="46" t="s">
        <v>206</v>
      </c>
      <c r="B49" s="13" t="str">
        <f>IFERROR(INDEX(tbl_Produk[NAMA PRODUK], MATCH(A49, tbl_Produk[KODE PRODUK], 0)), "")</f>
        <v>SAUS CREAMY CHEESE</v>
      </c>
      <c r="C49" s="9">
        <f>'PENJUALAN (QTY)'!AH31</f>
        <v>0</v>
      </c>
      <c r="D49" s="26">
        <f>'PENJUALAN (RP)'!AI31</f>
        <v>0</v>
      </c>
      <c r="E49" s="26">
        <f>IF($A49="","",IFERROR(SUMIF('PENJUALAN (QTY)'!$A$3:$A$500,$A49,'PENJUALAN (QTY)'!$AH$3:$AH$500)*INDEX(tbl_Produk[HPP PER UNIT],MATCH($A49,tbl_Produk[KODE PRODUK],0)),0))</f>
        <v>0</v>
      </c>
      <c r="F49" s="26">
        <f t="shared" si="0"/>
        <v>0</v>
      </c>
      <c r="G49" s="37">
        <f t="shared" si="1"/>
        <v>0</v>
      </c>
    </row>
    <row r="50" spans="1:11">
      <c r="A50" s="46" t="s">
        <v>207</v>
      </c>
      <c r="B50" s="13" t="str">
        <f>IFERROR(INDEX(tbl_Produk[NAMA PRODUK], MATCH(A50, tbl_Produk[KODE PRODUK], 0)), "")</f>
        <v>TAHU CRISPY</v>
      </c>
      <c r="C50" s="9">
        <f>'PENJUALAN (QTY)'!AH32</f>
        <v>0</v>
      </c>
      <c r="D50" s="26">
        <f>'PENJUALAN (RP)'!AI32</f>
        <v>0</v>
      </c>
      <c r="E50" s="26">
        <f>IF($A50="","",IFERROR(SUMIF('PENJUALAN (QTY)'!$A$3:$A$500,$A50,'PENJUALAN (QTY)'!$AH$3:$AH$500)*INDEX(tbl_Produk[HPP PER UNIT],MATCH($A50,tbl_Produk[KODE PRODUK],0)),0))</f>
        <v>0</v>
      </c>
      <c r="F50" s="26">
        <f t="shared" si="0"/>
        <v>0</v>
      </c>
      <c r="G50" s="37">
        <f t="shared" si="1"/>
        <v>0</v>
      </c>
    </row>
    <row r="51" spans="1:11" ht="15" thickBot="1">
      <c r="A51" s="46" t="s">
        <v>208</v>
      </c>
      <c r="B51" s="13" t="str">
        <f>IFERROR(INDEX(tbl_Produk[NAMA PRODUK], MATCH(A51, tbl_Produk[KODE PRODUK], 0)), "")</f>
        <v>TOPPING KEJU</v>
      </c>
      <c r="C51" s="9">
        <f>'PENJUALAN (QTY)'!AH33</f>
        <v>0</v>
      </c>
      <c r="D51" s="26">
        <f>'PENJUALAN (RP)'!AI33</f>
        <v>0</v>
      </c>
      <c r="E51" s="26">
        <f>IF($A51="","",IFERROR(SUMIF('PENJUALAN (QTY)'!$A$3:$A$500,$A51,'PENJUALAN (QTY)'!$AH$3:$AH$500)*INDEX(tbl_Produk[HPP PER UNIT],MATCH($A51,tbl_Produk[KODE PRODUK],0)),0))</f>
        <v>0</v>
      </c>
      <c r="F51" s="26">
        <f t="shared" si="0"/>
        <v>0</v>
      </c>
      <c r="G51" s="37">
        <f t="shared" si="1"/>
        <v>0</v>
      </c>
    </row>
    <row r="52" spans="1:11" s="8" customFormat="1" ht="30" customHeight="1" thickTop="1" thickBot="1">
      <c r="A52" s="160" t="s">
        <v>247</v>
      </c>
      <c r="B52" s="161"/>
      <c r="C52" s="42">
        <f>SUM(C21:C51)</f>
        <v>161</v>
      </c>
      <c r="D52" s="43">
        <f>SUM(D21:D51)</f>
        <v>1197000</v>
      </c>
      <c r="E52" s="43">
        <f>SUM(E21:E51)</f>
        <v>1067155.47</v>
      </c>
      <c r="F52" s="43">
        <f>SUM(F21:F51)</f>
        <v>129844.53000000009</v>
      </c>
      <c r="G52" s="44">
        <f t="shared" si="1"/>
        <v>0.1084749624060151</v>
      </c>
      <c r="H52" s="35"/>
      <c r="I52" s="35"/>
      <c r="J52" s="35"/>
      <c r="K52" s="18"/>
    </row>
    <row r="53" spans="1:11" ht="15" thickTop="1"/>
  </sheetData>
  <mergeCells count="4">
    <mergeCell ref="A1:B1"/>
    <mergeCell ref="A18:G18"/>
    <mergeCell ref="A10:C10"/>
    <mergeCell ref="A52:B52"/>
  </mergeCells>
  <conditionalFormatting sqref="B21:F51">
    <cfRule type="expression" dxfId="0" priority="1">
      <formula>MOD(ROW(),2)=1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06E25-486E-4504-927D-5EE23096FDB5}">
  <sheetPr codeName="Sheet8"/>
  <dimension ref="A1:I91"/>
  <sheetViews>
    <sheetView topLeftCell="A16" zoomScaleNormal="100" workbookViewId="0">
      <selection activeCell="A19" sqref="A19:G19"/>
    </sheetView>
  </sheetViews>
  <sheetFormatPr defaultRowHeight="14.5"/>
  <cols>
    <col min="1" max="1" width="27.1796875" style="10" customWidth="1"/>
    <col min="2" max="2" width="20.6328125" style="26" customWidth="1"/>
    <col min="3" max="3" width="14.6328125" customWidth="1"/>
    <col min="4" max="4" width="22.6328125" customWidth="1"/>
    <col min="5" max="5" width="15.6328125" customWidth="1"/>
    <col min="6" max="6" width="22.6328125" style="28" customWidth="1"/>
    <col min="7" max="7" width="20.6328125" customWidth="1"/>
    <col min="8" max="8" width="27.6328125" customWidth="1"/>
    <col min="9" max="9" width="20.453125" customWidth="1"/>
    <col min="10" max="10" width="24.26953125" customWidth="1"/>
    <col min="11" max="11" width="15.54296875" customWidth="1"/>
    <col min="12" max="12" width="29.54296875" customWidth="1"/>
    <col min="13" max="13" width="15.7265625" customWidth="1"/>
    <col min="14" max="14" width="25.453125" customWidth="1"/>
  </cols>
  <sheetData>
    <row r="1" spans="1:9" s="28" customFormat="1" ht="30" customHeight="1">
      <c r="A1" s="129" t="s">
        <v>310</v>
      </c>
      <c r="B1" s="129"/>
      <c r="C1" s="27"/>
    </row>
    <row r="2" spans="1:9" ht="14.5" customHeight="1"/>
    <row r="3" spans="1:9" ht="30" customHeight="1">
      <c r="A3" s="12" t="s">
        <v>311</v>
      </c>
      <c r="B3" s="31">
        <f>B17</f>
        <v>700000</v>
      </c>
    </row>
    <row r="4" spans="1:9" ht="30" customHeight="1">
      <c r="A4" s="12" t="s">
        <v>312</v>
      </c>
      <c r="B4" s="31">
        <f>SUM(G25:G955)</f>
        <v>708400</v>
      </c>
    </row>
    <row r="5" spans="1:9" ht="30" customHeight="1">
      <c r="A5" s="12" t="s">
        <v>313</v>
      </c>
      <c r="B5" s="31">
        <f>B3 + B4</f>
        <v>1408400</v>
      </c>
    </row>
    <row r="6" spans="1:9" ht="30" customHeight="1">
      <c r="A6" s="12" t="s">
        <v>314</v>
      </c>
      <c r="B6" s="31">
        <f>D17</f>
        <v>1067155.47</v>
      </c>
    </row>
    <row r="7" spans="1:9" ht="30" customHeight="1">
      <c r="A7" s="12" t="s">
        <v>315</v>
      </c>
      <c r="B7" s="31">
        <f>B5 - B6</f>
        <v>341244.53</v>
      </c>
    </row>
    <row r="8" spans="1:9" ht="30" customHeight="1">
      <c r="A8" s="12"/>
    </row>
    <row r="9" spans="1:9" ht="30" customHeight="1">
      <c r="A9" s="127" t="s">
        <v>326</v>
      </c>
      <c r="B9" s="127"/>
      <c r="C9" s="127"/>
      <c r="D9" s="127"/>
      <c r="E9" s="127"/>
      <c r="F9" s="127"/>
    </row>
    <row r="10" spans="1:9" ht="14.5" customHeight="1" thickBot="1">
      <c r="B10" s="10"/>
      <c r="C10" s="26"/>
      <c r="G10" s="33"/>
      <c r="H10" s="33"/>
      <c r="I10" s="28"/>
    </row>
    <row r="11" spans="1:9" ht="30" customHeight="1" thickTop="1" thickBot="1">
      <c r="A11" s="103" t="s">
        <v>321</v>
      </c>
      <c r="B11" s="104" t="s">
        <v>328</v>
      </c>
      <c r="C11" s="105" t="s">
        <v>327</v>
      </c>
      <c r="D11" s="104" t="s">
        <v>322</v>
      </c>
      <c r="E11" s="104" t="s">
        <v>323</v>
      </c>
      <c r="F11" s="106" t="s">
        <v>324</v>
      </c>
      <c r="G11" s="33"/>
      <c r="H11" s="33"/>
      <c r="I11" s="28"/>
    </row>
    <row r="12" spans="1:9" ht="30" customHeight="1" thickTop="1">
      <c r="A12" s="101" t="s">
        <v>256</v>
      </c>
      <c r="B12" s="32">
        <v>231000</v>
      </c>
      <c r="C12" s="32">
        <f>SUMPRODUCT(SUMIF($C$25:$C$955, 'MASTER BAHAN BAKU'!$A$2:$A$500, $G$25:$G$955) * ('MASTER BAHAN BAKU'!$B$2:$B$500 = A12))</f>
        <v>334400</v>
      </c>
      <c r="D12" s="32">
        <f>SUMIFS(tblDetailHPP[HPP TERJUAL PER KOMPONEN],tblDetailHPP[KATEGORI HPP],$A12)</f>
        <v>392917.69999999995</v>
      </c>
      <c r="E12" s="32">
        <f>(B12 + C12) - D12</f>
        <v>172482.30000000005</v>
      </c>
      <c r="F12" s="102" t="str">
        <f>IF(E12&gt;=0, "Aman / Sisa Stok", "Defisit / Pemborosan")</f>
        <v>Aman / Sisa Stok</v>
      </c>
      <c r="G12" s="33"/>
      <c r="H12" s="33"/>
      <c r="I12" s="28"/>
    </row>
    <row r="13" spans="1:9" ht="30" customHeight="1">
      <c r="A13" s="101" t="s">
        <v>307</v>
      </c>
      <c r="B13" s="32">
        <v>429000</v>
      </c>
      <c r="C13" s="32">
        <f>SUMPRODUCT(SUMIF($C$25:$C$955, 'MASTER BAHAN BAKU'!$A$2:$A$500, $G$25:$G$955) * ('MASTER BAHAN BAKU'!$B$2:$B$500 = A13))</f>
        <v>257500</v>
      </c>
      <c r="D13" s="32">
        <f>SUMIFS(tblDetailHPP[HPP TERJUAL PER KOMPONEN],tblDetailHPP[KATEGORI HPP],$A13)</f>
        <v>519342.64</v>
      </c>
      <c r="E13" s="32">
        <f>(B13 + C13) - D13</f>
        <v>167157.35999999999</v>
      </c>
      <c r="F13" s="102" t="str">
        <f>IF(E13&gt;=0, "Aman / Sisa Stok", "Defisit / Pemborosan")</f>
        <v>Aman / Sisa Stok</v>
      </c>
      <c r="G13" s="33"/>
      <c r="H13" s="33"/>
      <c r="I13" s="28"/>
    </row>
    <row r="14" spans="1:9" ht="30" customHeight="1">
      <c r="A14" s="101" t="s">
        <v>257</v>
      </c>
      <c r="B14" s="32">
        <v>6000</v>
      </c>
      <c r="C14" s="32">
        <f>SUMPRODUCT(SUMIF($C$25:$C$955, 'MASTER BAHAN BAKU'!$A$2:$A$500, $G$25:$G$955) * ('MASTER BAHAN BAKU'!$B$2:$B$500 = A14))</f>
        <v>8000</v>
      </c>
      <c r="D14" s="32">
        <f>SUMIFS(tblDetailHPP[HPP TERJUAL PER KOMPONEN],tblDetailHPP[KATEGORI HPP],$A14)</f>
        <v>0</v>
      </c>
      <c r="E14" s="32">
        <f>(B14 + C14) - D14</f>
        <v>14000</v>
      </c>
      <c r="F14" s="102" t="str">
        <f>IF(E14&gt;=0, "Aman / Sisa Stok", "Defisit / Pemborosan")</f>
        <v>Aman / Sisa Stok</v>
      </c>
      <c r="G14" s="33"/>
      <c r="H14" s="33"/>
      <c r="I14" s="28"/>
    </row>
    <row r="15" spans="1:9" ht="30" customHeight="1">
      <c r="A15" s="101" t="s">
        <v>308</v>
      </c>
      <c r="B15" s="32">
        <v>5000</v>
      </c>
      <c r="C15" s="32">
        <f>SUMPRODUCT(SUMIF($C$25:$C$955, 'MASTER BAHAN BAKU'!$A$2:$A$500, $G$25:$G$955) * ('MASTER BAHAN BAKU'!$B$2:$B$500 = A15))</f>
        <v>85500</v>
      </c>
      <c r="D15" s="32">
        <f>SUMIFS(tblDetailHPP[HPP TERJUAL PER KOMPONEN],tblDetailHPP[KATEGORI HPP],$A15)</f>
        <v>115120</v>
      </c>
      <c r="E15" s="32">
        <f>(B15 + C15) - D15</f>
        <v>-24620</v>
      </c>
      <c r="F15" s="102" t="str">
        <f>IF(E15&gt;=0, "Aman / Sisa Stok", "Defisit / Pemborosan")</f>
        <v>Defisit / Pemborosan</v>
      </c>
      <c r="G15" s="33"/>
      <c r="H15" s="33"/>
      <c r="I15" s="28"/>
    </row>
    <row r="16" spans="1:9" ht="30" customHeight="1" thickBot="1">
      <c r="A16" s="101" t="s">
        <v>309</v>
      </c>
      <c r="B16" s="32">
        <v>29000</v>
      </c>
      <c r="C16" s="32">
        <f>SUMPRODUCT(SUMIF($C$25:$C$955, 'MASTER BAHAN BAKU'!$A$2:$A$500, $G$25:$G$955) * ('MASTER BAHAN BAKU'!$B$2:$B$500 = A16))</f>
        <v>23000</v>
      </c>
      <c r="D16" s="32">
        <f>SUMIFS(tblDetailHPP[HPP TERJUAL PER KOMPONEN],tblDetailHPP[KATEGORI HPP],$A16)</f>
        <v>39775.130000000005</v>
      </c>
      <c r="E16" s="32">
        <f>(B16 + C16) - D16</f>
        <v>12224.869999999995</v>
      </c>
      <c r="F16" s="102" t="str">
        <f>IF(E16&gt;=0, "Aman / Sisa Stok", "Defisit / Pemborosan")</f>
        <v>Aman / Sisa Stok</v>
      </c>
      <c r="G16" s="33"/>
      <c r="H16" s="33"/>
      <c r="I16" s="28"/>
    </row>
    <row r="17" spans="1:9" ht="30" customHeight="1" thickTop="1" thickBot="1">
      <c r="A17" s="107" t="s">
        <v>325</v>
      </c>
      <c r="B17" s="108">
        <f>SUM(B12:B16)</f>
        <v>700000</v>
      </c>
      <c r="C17" s="108">
        <f>SUM(C12:C16)</f>
        <v>708400</v>
      </c>
      <c r="D17" s="108">
        <f>SUM(D12:D16)</f>
        <v>1067155.47</v>
      </c>
      <c r="E17" s="108">
        <f>SUM(E12:E16)</f>
        <v>341244.53</v>
      </c>
      <c r="F17" s="109"/>
      <c r="G17" s="33"/>
      <c r="H17" s="33"/>
      <c r="I17" s="28"/>
    </row>
    <row r="18" spans="1:9" ht="30" customHeight="1" thickTop="1">
      <c r="D18" s="29"/>
      <c r="E18" s="29"/>
      <c r="F18" s="26"/>
      <c r="G18" s="26"/>
      <c r="H18" s="26"/>
      <c r="I18" s="28"/>
    </row>
    <row r="19" spans="1:9" ht="30" customHeight="1">
      <c r="A19" s="128" t="s">
        <v>329</v>
      </c>
      <c r="B19" s="128"/>
      <c r="C19" s="128"/>
      <c r="D19" s="128"/>
      <c r="E19" s="128"/>
      <c r="F19" s="128"/>
      <c r="G19" s="128"/>
      <c r="H19" s="26"/>
      <c r="I19" s="28"/>
    </row>
    <row r="20" spans="1:9" ht="14.5" customHeight="1">
      <c r="A20" s="121"/>
      <c r="B20" s="112"/>
      <c r="C20" s="113"/>
      <c r="D20" s="114"/>
      <c r="E20" s="114"/>
      <c r="F20" s="112"/>
      <c r="G20" s="112"/>
      <c r="H20" s="26"/>
      <c r="I20" s="28"/>
    </row>
    <row r="21" spans="1:9" s="111" customFormat="1" ht="31" customHeight="1">
      <c r="A21" s="115" t="s">
        <v>318</v>
      </c>
      <c r="B21" s="115" t="s">
        <v>319</v>
      </c>
      <c r="C21" s="116" t="s">
        <v>0</v>
      </c>
      <c r="D21" s="116" t="s">
        <v>320</v>
      </c>
      <c r="E21" s="116" t="s">
        <v>366</v>
      </c>
      <c r="F21" s="116" t="s">
        <v>367</v>
      </c>
      <c r="G21" s="116" t="s">
        <v>368</v>
      </c>
    </row>
    <row r="22" spans="1:9" s="110" customFormat="1" ht="29" customHeight="1">
      <c r="A22" s="122" t="s">
        <v>15</v>
      </c>
      <c r="B22" s="123">
        <v>1000</v>
      </c>
      <c r="C22" s="124" t="s">
        <v>5</v>
      </c>
      <c r="D22" s="162">
        <v>40000</v>
      </c>
      <c r="E22" s="124" t="s">
        <v>118</v>
      </c>
      <c r="F22" s="125"/>
      <c r="G22" s="126"/>
    </row>
    <row r="23" spans="1:9" s="30" customFormat="1" ht="14.4" customHeight="1"/>
    <row r="24" spans="1:9" s="111" customFormat="1" ht="31" customHeight="1">
      <c r="A24" s="117" t="s">
        <v>229</v>
      </c>
      <c r="B24" s="117" t="s">
        <v>316</v>
      </c>
      <c r="C24" s="117" t="s">
        <v>317</v>
      </c>
      <c r="D24" s="117" t="s">
        <v>318</v>
      </c>
      <c r="E24" s="117" t="s">
        <v>319</v>
      </c>
      <c r="F24" s="117" t="s">
        <v>0</v>
      </c>
      <c r="G24" s="117" t="s">
        <v>320</v>
      </c>
    </row>
    <row r="25" spans="1:9">
      <c r="A25" s="119">
        <v>46366</v>
      </c>
      <c r="B25" t="s">
        <v>331</v>
      </c>
      <c r="C25" t="s">
        <v>158</v>
      </c>
      <c r="D25" t="s">
        <v>53</v>
      </c>
      <c r="E25" s="118">
        <v>50</v>
      </c>
      <c r="F25" t="s">
        <v>4</v>
      </c>
      <c r="G25" s="120">
        <v>11000</v>
      </c>
    </row>
    <row r="26" spans="1:9">
      <c r="A26" s="119">
        <v>46366</v>
      </c>
      <c r="B26" t="s">
        <v>331</v>
      </c>
      <c r="C26" t="s">
        <v>159</v>
      </c>
      <c r="D26" t="s">
        <v>54</v>
      </c>
      <c r="E26" s="118">
        <v>50</v>
      </c>
      <c r="F26" t="s">
        <v>4</v>
      </c>
      <c r="G26" s="120">
        <v>11000</v>
      </c>
    </row>
    <row r="27" spans="1:9">
      <c r="A27" s="119">
        <v>46336</v>
      </c>
      <c r="B27" t="s">
        <v>330</v>
      </c>
      <c r="C27" t="s">
        <v>175</v>
      </c>
      <c r="D27" t="s">
        <v>69</v>
      </c>
      <c r="E27" s="118">
        <v>500</v>
      </c>
      <c r="F27" t="s">
        <v>5</v>
      </c>
      <c r="G27" s="120">
        <v>9000</v>
      </c>
    </row>
    <row r="28" spans="1:9">
      <c r="A28" s="119">
        <v>46304</v>
      </c>
      <c r="B28" t="s">
        <v>371</v>
      </c>
      <c r="C28" t="s">
        <v>123</v>
      </c>
      <c r="D28" t="s">
        <v>20</v>
      </c>
      <c r="E28" s="118">
        <v>50</v>
      </c>
      <c r="F28" t="s">
        <v>5</v>
      </c>
      <c r="G28" s="120">
        <v>5000</v>
      </c>
      <c r="H28" s="26"/>
    </row>
    <row r="29" spans="1:9">
      <c r="A29" s="119">
        <v>46304</v>
      </c>
      <c r="B29" t="s">
        <v>332</v>
      </c>
      <c r="C29" t="s">
        <v>165</v>
      </c>
      <c r="D29" t="s">
        <v>61</v>
      </c>
      <c r="E29" s="118">
        <v>48</v>
      </c>
      <c r="F29" t="s">
        <v>4</v>
      </c>
      <c r="G29" s="120">
        <v>10000</v>
      </c>
      <c r="H29" s="26"/>
    </row>
    <row r="30" spans="1:9">
      <c r="A30" s="119">
        <v>46304</v>
      </c>
      <c r="B30" t="s">
        <v>332</v>
      </c>
      <c r="C30" t="s">
        <v>164</v>
      </c>
      <c r="D30" t="s">
        <v>60</v>
      </c>
      <c r="E30" s="118">
        <v>48</v>
      </c>
      <c r="F30" t="s">
        <v>4</v>
      </c>
      <c r="G30" s="120">
        <v>10000</v>
      </c>
      <c r="H30" s="26"/>
    </row>
    <row r="31" spans="1:9">
      <c r="A31" s="119">
        <v>46304</v>
      </c>
      <c r="B31" t="s">
        <v>370</v>
      </c>
      <c r="C31" t="s">
        <v>143</v>
      </c>
      <c r="D31" t="s">
        <v>39</v>
      </c>
      <c r="E31" s="118">
        <v>3000</v>
      </c>
      <c r="F31" t="s">
        <v>5</v>
      </c>
      <c r="G31" s="120">
        <v>23000</v>
      </c>
      <c r="H31" s="26"/>
    </row>
    <row r="32" spans="1:9">
      <c r="A32" s="119">
        <v>46304</v>
      </c>
      <c r="B32" t="s">
        <v>370</v>
      </c>
      <c r="C32" t="s">
        <v>150</v>
      </c>
      <c r="D32" t="s">
        <v>3</v>
      </c>
      <c r="E32" s="118">
        <v>2000</v>
      </c>
      <c r="F32" t="s">
        <v>6</v>
      </c>
      <c r="G32" s="120">
        <v>44000</v>
      </c>
    </row>
    <row r="33" spans="1:7">
      <c r="A33" s="119">
        <v>46304</v>
      </c>
      <c r="B33" t="s">
        <v>369</v>
      </c>
      <c r="C33" t="s">
        <v>114</v>
      </c>
      <c r="D33" t="s">
        <v>11</v>
      </c>
      <c r="E33" s="118">
        <v>6200</v>
      </c>
      <c r="F33" t="s">
        <v>5</v>
      </c>
      <c r="G33" s="120">
        <v>167400</v>
      </c>
    </row>
    <row r="34" spans="1:7">
      <c r="A34" s="119">
        <v>46303</v>
      </c>
      <c r="B34" t="s">
        <v>371</v>
      </c>
      <c r="C34" t="s">
        <v>173</v>
      </c>
      <c r="D34" t="s">
        <v>67</v>
      </c>
      <c r="E34" s="118">
        <v>80</v>
      </c>
      <c r="F34" t="s">
        <v>5</v>
      </c>
      <c r="G34" s="120">
        <v>8000</v>
      </c>
    </row>
    <row r="35" spans="1:7">
      <c r="A35" s="119">
        <v>46303</v>
      </c>
      <c r="B35" t="s">
        <v>371</v>
      </c>
      <c r="C35" t="s">
        <v>126</v>
      </c>
      <c r="D35" t="s">
        <v>23</v>
      </c>
      <c r="E35" s="118">
        <v>300</v>
      </c>
      <c r="F35" t="s">
        <v>5</v>
      </c>
      <c r="G35" s="120">
        <v>17000</v>
      </c>
    </row>
    <row r="36" spans="1:7">
      <c r="A36" s="119">
        <v>46302</v>
      </c>
      <c r="B36" t="s">
        <v>371</v>
      </c>
      <c r="C36" t="s">
        <v>125</v>
      </c>
      <c r="D36" t="s">
        <v>22</v>
      </c>
      <c r="E36" s="118">
        <v>300</v>
      </c>
      <c r="F36" t="s">
        <v>5</v>
      </c>
      <c r="G36" s="120">
        <v>16000</v>
      </c>
    </row>
    <row r="37" spans="1:7">
      <c r="A37" s="119">
        <v>46300</v>
      </c>
      <c r="B37" t="s">
        <v>371</v>
      </c>
      <c r="C37" t="s">
        <v>150</v>
      </c>
      <c r="D37" t="s">
        <v>3</v>
      </c>
      <c r="E37" s="118">
        <v>20000</v>
      </c>
      <c r="F37" t="s">
        <v>6</v>
      </c>
      <c r="G37" s="120">
        <v>42000</v>
      </c>
    </row>
    <row r="38" spans="1:7">
      <c r="A38" s="119">
        <v>46298</v>
      </c>
      <c r="B38" t="s">
        <v>371</v>
      </c>
      <c r="C38" t="s">
        <v>175</v>
      </c>
      <c r="D38" t="s">
        <v>69</v>
      </c>
      <c r="E38" s="118">
        <v>500</v>
      </c>
      <c r="F38" t="s">
        <v>5</v>
      </c>
      <c r="G38" s="120">
        <v>10000</v>
      </c>
    </row>
    <row r="39" spans="1:7">
      <c r="A39" s="119">
        <v>46298</v>
      </c>
      <c r="B39" t="s">
        <v>371</v>
      </c>
      <c r="C39" t="s">
        <v>150</v>
      </c>
      <c r="D39" t="s">
        <v>3</v>
      </c>
      <c r="E39" s="118">
        <v>1000</v>
      </c>
      <c r="F39" t="s">
        <v>6</v>
      </c>
      <c r="G39" s="120">
        <v>23000</v>
      </c>
    </row>
    <row r="40" spans="1:7">
      <c r="A40" s="119">
        <v>46298</v>
      </c>
      <c r="B40" t="s">
        <v>372</v>
      </c>
      <c r="C40" t="s">
        <v>145</v>
      </c>
      <c r="D40" t="s">
        <v>41</v>
      </c>
      <c r="E40" s="118">
        <v>50</v>
      </c>
      <c r="F40" t="s">
        <v>4</v>
      </c>
      <c r="G40" s="120">
        <v>24000</v>
      </c>
    </row>
    <row r="41" spans="1:7">
      <c r="A41" s="119">
        <v>46298</v>
      </c>
      <c r="B41" t="s">
        <v>333</v>
      </c>
      <c r="C41" t="s">
        <v>114</v>
      </c>
      <c r="D41" t="s">
        <v>11</v>
      </c>
      <c r="E41" s="118">
        <v>6350</v>
      </c>
      <c r="F41" t="s">
        <v>5</v>
      </c>
      <c r="G41" s="120">
        <v>167000</v>
      </c>
    </row>
    <row r="42" spans="1:7">
      <c r="A42" s="119">
        <v>46296</v>
      </c>
      <c r="B42" t="s">
        <v>332</v>
      </c>
      <c r="C42" t="s">
        <v>116</v>
      </c>
      <c r="D42" t="s">
        <v>13</v>
      </c>
      <c r="E42" s="118">
        <v>1000</v>
      </c>
      <c r="F42" t="s">
        <v>5</v>
      </c>
      <c r="G42" s="120">
        <v>7500</v>
      </c>
    </row>
    <row r="43" spans="1:7">
      <c r="A43" s="119">
        <v>46296</v>
      </c>
      <c r="B43" t="s">
        <v>332</v>
      </c>
      <c r="C43" t="s">
        <v>129</v>
      </c>
      <c r="D43" t="s">
        <v>26</v>
      </c>
      <c r="E43" s="118">
        <v>50</v>
      </c>
      <c r="F43" t="s">
        <v>4</v>
      </c>
      <c r="G43" s="120">
        <v>7500</v>
      </c>
    </row>
    <row r="44" spans="1:7">
      <c r="A44" s="119">
        <v>46296</v>
      </c>
      <c r="B44" t="s">
        <v>332</v>
      </c>
      <c r="C44" t="s">
        <v>164</v>
      </c>
      <c r="D44" t="s">
        <v>60</v>
      </c>
      <c r="E44" s="118">
        <v>48</v>
      </c>
      <c r="F44" t="s">
        <v>4</v>
      </c>
      <c r="G44" s="120">
        <v>10000</v>
      </c>
    </row>
    <row r="45" spans="1:7">
      <c r="A45" s="119">
        <v>46296</v>
      </c>
      <c r="B45" t="s">
        <v>332</v>
      </c>
      <c r="C45" t="s">
        <v>165</v>
      </c>
      <c r="D45" t="s">
        <v>61</v>
      </c>
      <c r="E45" s="118">
        <v>48</v>
      </c>
      <c r="F45" t="s">
        <v>4</v>
      </c>
      <c r="G45" s="120">
        <v>10000</v>
      </c>
    </row>
    <row r="46" spans="1:7">
      <c r="A46" s="119">
        <v>46296</v>
      </c>
      <c r="B46" t="s">
        <v>332</v>
      </c>
      <c r="C46" t="s">
        <v>134</v>
      </c>
      <c r="D46" t="s">
        <v>31</v>
      </c>
      <c r="E46" s="118">
        <v>500</v>
      </c>
      <c r="F46" t="s">
        <v>5</v>
      </c>
      <c r="G46" s="120">
        <v>10000</v>
      </c>
    </row>
    <row r="47" spans="1:7">
      <c r="A47" s="119">
        <v>46296</v>
      </c>
      <c r="B47" t="s">
        <v>332</v>
      </c>
      <c r="C47" t="s">
        <v>137</v>
      </c>
      <c r="D47" t="s">
        <v>34</v>
      </c>
      <c r="E47" s="118">
        <v>200</v>
      </c>
      <c r="F47" t="s">
        <v>4</v>
      </c>
      <c r="G47" s="120">
        <v>12000</v>
      </c>
    </row>
    <row r="48" spans="1:7">
      <c r="A48" s="119">
        <v>46296</v>
      </c>
      <c r="B48" t="s">
        <v>332</v>
      </c>
      <c r="C48" t="s">
        <v>151</v>
      </c>
      <c r="D48" t="s">
        <v>47</v>
      </c>
      <c r="E48" s="118">
        <v>250</v>
      </c>
      <c r="F48" t="s">
        <v>5</v>
      </c>
      <c r="G48" s="120">
        <v>14000</v>
      </c>
    </row>
    <row r="49" spans="1:7">
      <c r="A49" s="119">
        <v>46296</v>
      </c>
      <c r="B49" t="s">
        <v>332</v>
      </c>
      <c r="C49" t="s">
        <v>161</v>
      </c>
      <c r="D49" t="s">
        <v>57</v>
      </c>
      <c r="E49" s="118">
        <v>460</v>
      </c>
      <c r="F49" t="s">
        <v>5</v>
      </c>
      <c r="G49" s="120">
        <v>20000</v>
      </c>
    </row>
    <row r="50" spans="1:7">
      <c r="A50" s="119">
        <v>46296</v>
      </c>
      <c r="B50" t="s">
        <v>332</v>
      </c>
      <c r="C50" t="s">
        <v>128</v>
      </c>
      <c r="D50" t="s">
        <v>25</v>
      </c>
      <c r="E50" s="118">
        <v>50</v>
      </c>
      <c r="F50" t="s">
        <v>4</v>
      </c>
      <c r="G50" s="120">
        <v>20000</v>
      </c>
    </row>
    <row r="51" spans="1:7">
      <c r="A51"/>
      <c r="B51"/>
      <c r="F51"/>
    </row>
    <row r="52" spans="1:7">
      <c r="A52"/>
      <c r="B52"/>
      <c r="F52"/>
    </row>
    <row r="54" spans="1:7">
      <c r="A54"/>
      <c r="C54" s="13"/>
    </row>
    <row r="55" spans="1:7">
      <c r="A55"/>
      <c r="C55" s="13"/>
    </row>
    <row r="56" spans="1:7">
      <c r="A56"/>
      <c r="C56" s="13"/>
    </row>
    <row r="57" spans="1:7">
      <c r="A57"/>
      <c r="C57" s="13"/>
    </row>
    <row r="58" spans="1:7">
      <c r="A58"/>
      <c r="C58" s="13"/>
    </row>
    <row r="59" spans="1:7">
      <c r="A59"/>
      <c r="C59" s="13"/>
    </row>
    <row r="60" spans="1:7">
      <c r="A60"/>
      <c r="C60" s="13"/>
    </row>
    <row r="61" spans="1:7">
      <c r="A61"/>
    </row>
    <row r="62" spans="1:7">
      <c r="A62"/>
    </row>
    <row r="63" spans="1:7">
      <c r="A63"/>
    </row>
    <row r="64" spans="1:7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</sheetData>
  <mergeCells count="3">
    <mergeCell ref="A9:F9"/>
    <mergeCell ref="A19:G19"/>
    <mergeCell ref="A1:B1"/>
  </mergeCells>
  <conditionalFormatting sqref="A12:F16">
    <cfRule type="expression" dxfId="42" priority="1">
      <formula>MOD(ROW(),2)=0</formula>
    </cfRule>
  </conditionalFormatting>
  <dataValidations count="1">
    <dataValidation type="list" allowBlank="1" showInputMessage="1" showErrorMessage="1" errorTitle="Nama bahan tidak terdaftar" error="Gunakan dropdown dan pilih nama bahan yang tersedia di MASTER BAHAN BAKU." promptTitle="Pilih bahan baku" prompt="Pilih nama bahan dari daftar MASTER BAHAN BAKU." sqref="A22" xr:uid="{712B2002-D7CA-49CF-8C0D-9294827F4062}">
      <formula1>DaftarNamaBahanBelanja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A66993-2037-43DA-842C-36809CE44AB4}">
          <x14:formula1>
            <xm:f>'MASTER BAHAN BAKU'!#REF!</xm:f>
          </x14:formula1>
          <xm:sqref>C54:C67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8D0B-975E-4053-A1BE-57C2BBECCE97}">
  <sheetPr codeName="Sheet11"/>
  <dimension ref="A1:D72"/>
  <sheetViews>
    <sheetView workbookViewId="0"/>
  </sheetViews>
  <sheetFormatPr defaultRowHeight="14.5"/>
  <sheetData>
    <row r="1" spans="1:4">
      <c r="A1" t="s">
        <v>351</v>
      </c>
      <c r="B1" t="s">
        <v>352</v>
      </c>
      <c r="C1" t="s">
        <v>353</v>
      </c>
      <c r="D1" t="s">
        <v>346</v>
      </c>
    </row>
    <row r="2" spans="1:4">
      <c r="A2" t="s">
        <v>355</v>
      </c>
      <c r="B2" t="s">
        <v>10</v>
      </c>
      <c r="C2" t="s">
        <v>10</v>
      </c>
      <c r="D2" t="s">
        <v>354</v>
      </c>
    </row>
    <row r="3" spans="1:4">
      <c r="B3" t="s">
        <v>11</v>
      </c>
      <c r="C3" t="s">
        <v>77</v>
      </c>
      <c r="D3" t="s">
        <v>7</v>
      </c>
    </row>
    <row r="4" spans="1:4">
      <c r="B4" t="s">
        <v>12</v>
      </c>
      <c r="C4" t="s">
        <v>78</v>
      </c>
    </row>
    <row r="5" spans="1:4">
      <c r="B5" t="s">
        <v>13</v>
      </c>
      <c r="C5" t="s">
        <v>79</v>
      </c>
    </row>
    <row r="6" spans="1:4">
      <c r="B6" t="s">
        <v>14</v>
      </c>
      <c r="C6" t="s">
        <v>80</v>
      </c>
    </row>
    <row r="7" spans="1:4">
      <c r="B7" t="s">
        <v>15</v>
      </c>
      <c r="C7" t="s">
        <v>81</v>
      </c>
    </row>
    <row r="8" spans="1:4">
      <c r="B8" t="s">
        <v>16</v>
      </c>
      <c r="C8" t="s">
        <v>82</v>
      </c>
    </row>
    <row r="9" spans="1:4">
      <c r="B9" t="s">
        <v>17</v>
      </c>
      <c r="C9" t="s">
        <v>83</v>
      </c>
    </row>
    <row r="10" spans="1:4">
      <c r="B10" t="s">
        <v>18</v>
      </c>
      <c r="C10" t="s">
        <v>84</v>
      </c>
    </row>
    <row r="11" spans="1:4">
      <c r="B11" t="s">
        <v>19</v>
      </c>
      <c r="C11" t="s">
        <v>85</v>
      </c>
    </row>
    <row r="12" spans="1:4">
      <c r="B12" t="s">
        <v>20</v>
      </c>
      <c r="C12" t="s">
        <v>86</v>
      </c>
    </row>
    <row r="13" spans="1:4">
      <c r="B13" t="s">
        <v>21</v>
      </c>
      <c r="C13" t="s">
        <v>87</v>
      </c>
    </row>
    <row r="14" spans="1:4">
      <c r="B14" t="s">
        <v>22</v>
      </c>
      <c r="C14" t="s">
        <v>88</v>
      </c>
    </row>
    <row r="15" spans="1:4">
      <c r="B15" t="s">
        <v>23</v>
      </c>
      <c r="C15" t="s">
        <v>89</v>
      </c>
    </row>
    <row r="16" spans="1:4">
      <c r="B16" t="s">
        <v>24</v>
      </c>
      <c r="C16" t="s">
        <v>90</v>
      </c>
    </row>
    <row r="17" spans="2:3">
      <c r="B17" t="s">
        <v>25</v>
      </c>
      <c r="C17" t="s">
        <v>91</v>
      </c>
    </row>
    <row r="18" spans="2:3">
      <c r="B18" t="s">
        <v>26</v>
      </c>
      <c r="C18" t="s">
        <v>92</v>
      </c>
    </row>
    <row r="19" spans="2:3">
      <c r="B19" t="s">
        <v>27</v>
      </c>
      <c r="C19" t="s">
        <v>93</v>
      </c>
    </row>
    <row r="20" spans="2:3">
      <c r="B20" t="s">
        <v>221</v>
      </c>
      <c r="C20" t="s">
        <v>29</v>
      </c>
    </row>
    <row r="21" spans="2:3">
      <c r="B21" t="s">
        <v>28</v>
      </c>
      <c r="C21" t="s">
        <v>94</v>
      </c>
    </row>
    <row r="22" spans="2:3">
      <c r="B22" t="s">
        <v>29</v>
      </c>
      <c r="C22" t="s">
        <v>95</v>
      </c>
    </row>
    <row r="23" spans="2:3">
      <c r="B23" t="s">
        <v>30</v>
      </c>
      <c r="C23" t="s">
        <v>96</v>
      </c>
    </row>
    <row r="24" spans="2:3">
      <c r="B24" t="s">
        <v>31</v>
      </c>
      <c r="C24" t="s">
        <v>97</v>
      </c>
    </row>
    <row r="25" spans="2:3">
      <c r="B25" t="s">
        <v>32</v>
      </c>
      <c r="C25" t="s">
        <v>98</v>
      </c>
    </row>
    <row r="26" spans="2:3">
      <c r="B26" t="s">
        <v>33</v>
      </c>
      <c r="C26" t="s">
        <v>99</v>
      </c>
    </row>
    <row r="27" spans="2:3">
      <c r="B27" t="s">
        <v>34</v>
      </c>
      <c r="C27" t="s">
        <v>100</v>
      </c>
    </row>
    <row r="28" spans="2:3">
      <c r="B28" t="s">
        <v>35</v>
      </c>
      <c r="C28" t="s">
        <v>101</v>
      </c>
    </row>
    <row r="29" spans="2:3">
      <c r="B29" t="s">
        <v>36</v>
      </c>
      <c r="C29" t="s">
        <v>102</v>
      </c>
    </row>
    <row r="30" spans="2:3">
      <c r="B30" t="s">
        <v>37</v>
      </c>
      <c r="C30" t="s">
        <v>103</v>
      </c>
    </row>
    <row r="31" spans="2:3">
      <c r="B31" t="s">
        <v>209</v>
      </c>
      <c r="C31" t="s">
        <v>104</v>
      </c>
    </row>
    <row r="32" spans="2:3">
      <c r="B32" t="s">
        <v>38</v>
      </c>
      <c r="C32" t="s">
        <v>105</v>
      </c>
    </row>
    <row r="33" spans="2:2">
      <c r="B33" t="s">
        <v>39</v>
      </c>
    </row>
    <row r="34" spans="2:2">
      <c r="B34" t="s">
        <v>40</v>
      </c>
    </row>
    <row r="35" spans="2:2">
      <c r="B35" t="s">
        <v>41</v>
      </c>
    </row>
    <row r="36" spans="2:2">
      <c r="B36" t="s">
        <v>42</v>
      </c>
    </row>
    <row r="37" spans="2:2">
      <c r="B37" t="s">
        <v>43</v>
      </c>
    </row>
    <row r="38" spans="2:2">
      <c r="B38" t="s">
        <v>44</v>
      </c>
    </row>
    <row r="39" spans="2:2">
      <c r="B39" t="s">
        <v>45</v>
      </c>
    </row>
    <row r="40" spans="2:2">
      <c r="B40" t="s">
        <v>46</v>
      </c>
    </row>
    <row r="41" spans="2:2">
      <c r="B41" t="s">
        <v>3</v>
      </c>
    </row>
    <row r="42" spans="2:2">
      <c r="B42" t="s">
        <v>47</v>
      </c>
    </row>
    <row r="43" spans="2:2">
      <c r="B43" t="s">
        <v>48</v>
      </c>
    </row>
    <row r="44" spans="2:2">
      <c r="B44" t="s">
        <v>227</v>
      </c>
    </row>
    <row r="45" spans="2:2">
      <c r="B45" t="s">
        <v>49</v>
      </c>
    </row>
    <row r="46" spans="2:2">
      <c r="B46" t="s">
        <v>50</v>
      </c>
    </row>
    <row r="47" spans="2:2">
      <c r="B47" t="s">
        <v>51</v>
      </c>
    </row>
    <row r="48" spans="2:2">
      <c r="B48" t="s">
        <v>52</v>
      </c>
    </row>
    <row r="49" spans="2:2">
      <c r="B49" t="s">
        <v>53</v>
      </c>
    </row>
    <row r="50" spans="2:2">
      <c r="B50" t="s">
        <v>54</v>
      </c>
    </row>
    <row r="51" spans="2:2">
      <c r="B51" t="s">
        <v>55</v>
      </c>
    </row>
    <row r="52" spans="2:2">
      <c r="B52" t="s">
        <v>56</v>
      </c>
    </row>
    <row r="53" spans="2:2">
      <c r="B53" t="s">
        <v>57</v>
      </c>
    </row>
    <row r="54" spans="2:2">
      <c r="B54" t="s">
        <v>58</v>
      </c>
    </row>
    <row r="55" spans="2:2">
      <c r="B55" t="s">
        <v>59</v>
      </c>
    </row>
    <row r="56" spans="2:2">
      <c r="B56" t="s">
        <v>60</v>
      </c>
    </row>
    <row r="57" spans="2:2">
      <c r="B57" t="s">
        <v>61</v>
      </c>
    </row>
    <row r="58" spans="2:2">
      <c r="B58" t="s">
        <v>62</v>
      </c>
    </row>
    <row r="59" spans="2:2">
      <c r="B59" t="s">
        <v>63</v>
      </c>
    </row>
    <row r="60" spans="2:2">
      <c r="B60" t="s">
        <v>219</v>
      </c>
    </row>
    <row r="61" spans="2:2">
      <c r="B61" t="s">
        <v>8</v>
      </c>
    </row>
    <row r="62" spans="2:2">
      <c r="B62" t="s">
        <v>64</v>
      </c>
    </row>
    <row r="63" spans="2:2">
      <c r="B63" t="s">
        <v>65</v>
      </c>
    </row>
    <row r="64" spans="2:2">
      <c r="B64" t="s">
        <v>225</v>
      </c>
    </row>
    <row r="65" spans="2:2">
      <c r="B65" t="s">
        <v>66</v>
      </c>
    </row>
    <row r="66" spans="2:2">
      <c r="B66" t="s">
        <v>1</v>
      </c>
    </row>
    <row r="67" spans="2:2">
      <c r="B67" t="s">
        <v>67</v>
      </c>
    </row>
    <row r="68" spans="2:2">
      <c r="B68" t="s">
        <v>68</v>
      </c>
    </row>
    <row r="69" spans="2:2">
      <c r="B69" t="s">
        <v>69</v>
      </c>
    </row>
    <row r="70" spans="2:2">
      <c r="B70" t="s">
        <v>70</v>
      </c>
    </row>
    <row r="71" spans="2:2">
      <c r="B71" t="s">
        <v>71</v>
      </c>
    </row>
    <row r="72" spans="2:2">
      <c r="B72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FORM HPP</vt:lpstr>
      <vt:lpstr>DETAIL HPP</vt:lpstr>
      <vt:lpstr>MASTER BAHAN BAKU</vt:lpstr>
      <vt:lpstr>MASTER PRODUK</vt:lpstr>
      <vt:lpstr>PENJUALAN (QTY)</vt:lpstr>
      <vt:lpstr>PENJUALAN (RP)</vt:lpstr>
      <vt:lpstr>REKAP PENJUALAN</vt:lpstr>
      <vt:lpstr>STOK &amp; BELANJA BAHAN</vt:lpstr>
      <vt:lpstr>DaftarNamaBahanBelanja</vt:lpstr>
      <vt:lpstr>HPPDaftarBahan</vt:lpstr>
      <vt:lpstr>HPPDaftarProduk</vt:lpstr>
      <vt:lpstr>HPPJenisKomponen</vt:lpstr>
      <vt:lpstr>HPPProdukBaru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Rifky Wijayanto</dc:creator>
  <cp:lastModifiedBy>Rifky Wijayanto</cp:lastModifiedBy>
  <dcterms:created xsi:type="dcterms:W3CDTF">2026-07-24T03:40:11Z</dcterms:created>
  <dcterms:modified xsi:type="dcterms:W3CDTF">2026-10-13T06:37:56Z</dcterms:modified>
</cp:coreProperties>
</file>